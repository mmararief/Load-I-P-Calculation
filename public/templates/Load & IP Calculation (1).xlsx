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15" windowWidth="19035" windowHeight="8190"/>
  </bookViews>
  <sheets>
    <sheet name="Load &amp; IP" sheetId="2" r:id="rId1"/>
    <sheet name="Data" sheetId="8" r:id="rId2"/>
    <sheet name="Sheet2" sheetId="9" r:id="rId3"/>
  </sheets>
  <calcPr calcId="125725"/>
</workbook>
</file>

<file path=xl/calcChain.xml><?xml version="1.0" encoding="utf-8"?>
<calcChain xmlns="http://schemas.openxmlformats.org/spreadsheetml/2006/main">
  <c r="M36" i="2"/>
  <c r="O36" s="1"/>
  <c r="M40"/>
  <c r="O40" s="1"/>
  <c r="M43"/>
  <c r="O43" s="1"/>
  <c r="W32"/>
  <c r="V34"/>
  <c r="AJ36" s="1"/>
  <c r="V32"/>
  <c r="V40" s="1"/>
  <c r="K34"/>
  <c r="O34"/>
  <c r="Q33"/>
  <c r="W2"/>
  <c r="V4"/>
  <c r="AJ4" s="1"/>
  <c r="V2"/>
  <c r="AH21" s="1"/>
  <c r="M6"/>
  <c r="O6" s="1"/>
  <c r="M9"/>
  <c r="O9" s="1"/>
  <c r="Z9" s="1"/>
  <c r="M13"/>
  <c r="O13" s="1"/>
  <c r="M16"/>
  <c r="O16" s="1"/>
  <c r="M19"/>
  <c r="O19" s="1"/>
  <c r="AI10"/>
  <c r="AJ18"/>
  <c r="AJ9"/>
  <c r="AJ26"/>
  <c r="AH57"/>
  <c r="AJ55"/>
  <c r="AE54"/>
  <c r="AJ51"/>
  <c r="AJ49"/>
  <c r="AJ47"/>
  <c r="AJ45"/>
  <c r="AI44"/>
  <c r="AJ43"/>
  <c r="AD43"/>
  <c r="AJ41"/>
  <c r="AI40"/>
  <c r="AJ39"/>
  <c r="AD39"/>
  <c r="AJ37"/>
  <c r="AI36"/>
  <c r="AJ35"/>
  <c r="AD35"/>
  <c r="AJ34"/>
  <c r="AJ56"/>
  <c r="AI55"/>
  <c r="AJ54"/>
  <c r="AD54"/>
  <c r="AJ52"/>
  <c r="AI51"/>
  <c r="AJ50"/>
  <c r="AD50"/>
  <c r="AJ48"/>
  <c r="AI47"/>
  <c r="AJ46"/>
  <c r="AD46"/>
  <c r="AJ44"/>
  <c r="AI43"/>
  <c r="AJ42"/>
  <c r="AD42"/>
  <c r="AJ40"/>
  <c r="AI39"/>
  <c r="AJ38"/>
  <c r="AD38"/>
  <c r="AH36"/>
  <c r="AG35"/>
  <c r="AD36" l="1"/>
  <c r="AG37"/>
  <c r="AH38"/>
  <c r="AE39"/>
  <c r="AF40"/>
  <c r="AG41"/>
  <c r="AH42"/>
  <c r="AE43"/>
  <c r="AF44"/>
  <c r="AG45"/>
  <c r="AH46"/>
  <c r="AE47"/>
  <c r="AF48"/>
  <c r="AG49"/>
  <c r="AH50"/>
  <c r="AE51"/>
  <c r="AF52"/>
  <c r="AG53"/>
  <c r="AH54"/>
  <c r="AE55"/>
  <c r="AF56"/>
  <c r="AG57"/>
  <c r="AG34"/>
  <c r="AH35"/>
  <c r="AE36"/>
  <c r="AF37"/>
  <c r="AG38"/>
  <c r="AH39"/>
  <c r="AE40"/>
  <c r="AF41"/>
  <c r="AG42"/>
  <c r="AH43"/>
  <c r="AE44"/>
  <c r="AF45"/>
  <c r="AI46"/>
  <c r="AD49"/>
  <c r="AI50"/>
  <c r="AD53"/>
  <c r="AF55"/>
  <c r="AG56"/>
  <c r="AD34"/>
  <c r="AD13"/>
  <c r="AI35"/>
  <c r="AF36"/>
  <c r="AE37"/>
  <c r="AI37"/>
  <c r="AF38"/>
  <c r="AG39"/>
  <c r="AD40"/>
  <c r="AH40"/>
  <c r="AE41"/>
  <c r="AI41"/>
  <c r="AF42"/>
  <c r="AG43"/>
  <c r="AD44"/>
  <c r="AH44"/>
  <c r="AE45"/>
  <c r="AI45"/>
  <c r="AF46"/>
  <c r="AG47"/>
  <c r="AD48"/>
  <c r="AH48"/>
  <c r="AE49"/>
  <c r="AI49"/>
  <c r="AF50"/>
  <c r="AG51"/>
  <c r="AD52"/>
  <c r="AH52"/>
  <c r="AE53"/>
  <c r="AI53"/>
  <c r="AF54"/>
  <c r="AG55"/>
  <c r="AD56"/>
  <c r="AH56"/>
  <c r="AE57"/>
  <c r="AI57"/>
  <c r="AI34"/>
  <c r="AE34"/>
  <c r="AF35"/>
  <c r="AG36"/>
  <c r="AD37"/>
  <c r="AH37"/>
  <c r="AE38"/>
  <c r="AI38"/>
  <c r="AF39"/>
  <c r="AG40"/>
  <c r="AD41"/>
  <c r="AH41"/>
  <c r="AE42"/>
  <c r="AI42"/>
  <c r="AF43"/>
  <c r="AG44"/>
  <c r="AD45"/>
  <c r="AH45"/>
  <c r="AE46"/>
  <c r="AF47"/>
  <c r="AG48"/>
  <c r="AH49"/>
  <c r="AE50"/>
  <c r="AF51"/>
  <c r="AG52"/>
  <c r="AH53"/>
  <c r="AI54"/>
  <c r="AD57"/>
  <c r="AH34"/>
  <c r="AD25"/>
  <c r="AG20"/>
  <c r="AH7"/>
  <c r="AH27"/>
  <c r="AF22"/>
  <c r="AG24"/>
  <c r="AG16"/>
  <c r="AF10"/>
  <c r="AH18"/>
  <c r="AJ17"/>
  <c r="AJ27"/>
  <c r="AJ10"/>
  <c r="AJ22"/>
  <c r="AJ13"/>
  <c r="AJ5"/>
  <c r="AJ23"/>
  <c r="AJ14"/>
  <c r="AJ6"/>
  <c r="AG46"/>
  <c r="AD47"/>
  <c r="AH47"/>
  <c r="AE48"/>
  <c r="AI48"/>
  <c r="AF49"/>
  <c r="AG50"/>
  <c r="AD51"/>
  <c r="AH51"/>
  <c r="AE52"/>
  <c r="AI52"/>
  <c r="AF53"/>
  <c r="AJ53"/>
  <c r="AG54"/>
  <c r="AD55"/>
  <c r="AH55"/>
  <c r="AE56"/>
  <c r="AI56"/>
  <c r="AF57"/>
  <c r="AJ57"/>
  <c r="AF34"/>
  <c r="AE35"/>
  <c r="AF26"/>
  <c r="AH23"/>
  <c r="AG26"/>
  <c r="AG22"/>
  <c r="AG18"/>
  <c r="AG14"/>
  <c r="AH11"/>
  <c r="AD9"/>
  <c r="AD5"/>
  <c r="AG10"/>
  <c r="Z43"/>
  <c r="Z36"/>
  <c r="AD27"/>
  <c r="AH25"/>
  <c r="AF24"/>
  <c r="AD23"/>
  <c r="AG27"/>
  <c r="AG25"/>
  <c r="AG23"/>
  <c r="AG21"/>
  <c r="AG19"/>
  <c r="AG17"/>
  <c r="AG15"/>
  <c r="AH13"/>
  <c r="AF12"/>
  <c r="AD11"/>
  <c r="AH9"/>
  <c r="AF8"/>
  <c r="AF6"/>
  <c r="AF21"/>
  <c r="AD16"/>
  <c r="Z19"/>
  <c r="Z13"/>
  <c r="Z6"/>
  <c r="Z40"/>
  <c r="Q16"/>
  <c r="Z16"/>
  <c r="V36"/>
  <c r="V16"/>
  <c r="AD7"/>
  <c r="AH5"/>
  <c r="AF4"/>
  <c r="AD20"/>
  <c r="AF17"/>
  <c r="AE13"/>
  <c r="AI7"/>
  <c r="AF16"/>
  <c r="AG5"/>
  <c r="AH14"/>
  <c r="AI11"/>
  <c r="AE9"/>
  <c r="AG6"/>
  <c r="AD19"/>
  <c r="AG13"/>
  <c r="AE8"/>
  <c r="AE26"/>
  <c r="AE5"/>
  <c r="AF20"/>
  <c r="AH17"/>
  <c r="AD15"/>
  <c r="AE12"/>
  <c r="AG9"/>
  <c r="AI6"/>
  <c r="AE18"/>
  <c r="AE21"/>
  <c r="AE4"/>
  <c r="AE22"/>
  <c r="AE17"/>
  <c r="AE25"/>
  <c r="V43"/>
  <c r="V6"/>
  <c r="Q6"/>
  <c r="Q13"/>
  <c r="Q19"/>
  <c r="Q9"/>
  <c r="AD4"/>
  <c r="AJ24"/>
  <c r="AJ19"/>
  <c r="AJ15"/>
  <c r="AJ11"/>
  <c r="AJ7"/>
  <c r="AF27"/>
  <c r="AH26"/>
  <c r="AD26"/>
  <c r="AF25"/>
  <c r="AH24"/>
  <c r="AD24"/>
  <c r="AF23"/>
  <c r="AH22"/>
  <c r="AD14"/>
  <c r="AJ25"/>
  <c r="AJ20"/>
  <c r="AJ16"/>
  <c r="AJ12"/>
  <c r="AJ8"/>
  <c r="AI27"/>
  <c r="AI26"/>
  <c r="AI25"/>
  <c r="AI24"/>
  <c r="AI23"/>
  <c r="AI22"/>
  <c r="AI21"/>
  <c r="AI20"/>
  <c r="AI19"/>
  <c r="AI18"/>
  <c r="AI17"/>
  <c r="AI16"/>
  <c r="AI15"/>
  <c r="AI14"/>
  <c r="AE14"/>
  <c r="AF13"/>
  <c r="AH12"/>
  <c r="AD12"/>
  <c r="AF11"/>
  <c r="AH10"/>
  <c r="AD10"/>
  <c r="AF9"/>
  <c r="AH8"/>
  <c r="AD8"/>
  <c r="AF7"/>
  <c r="AH6"/>
  <c r="AD6"/>
  <c r="AF5"/>
  <c r="AH4"/>
  <c r="AD22"/>
  <c r="AH20"/>
  <c r="AF19"/>
  <c r="AD18"/>
  <c r="AH16"/>
  <c r="AF15"/>
  <c r="AI13"/>
  <c r="AG12"/>
  <c r="AE11"/>
  <c r="AI9"/>
  <c r="AG8"/>
  <c r="AE7"/>
  <c r="AI5"/>
  <c r="AG4"/>
  <c r="AD21"/>
  <c r="AH19"/>
  <c r="AF18"/>
  <c r="AD17"/>
  <c r="AH15"/>
  <c r="AF14"/>
  <c r="AI12"/>
  <c r="AG11"/>
  <c r="AE10"/>
  <c r="AI8"/>
  <c r="AG7"/>
  <c r="AE6"/>
  <c r="AI4"/>
  <c r="AE16"/>
  <c r="AE20"/>
  <c r="AE24"/>
  <c r="AE15"/>
  <c r="AE19"/>
  <c r="AE23"/>
  <c r="AE27"/>
  <c r="AJ21"/>
  <c r="Q43"/>
  <c r="T43" s="1"/>
  <c r="Q40"/>
  <c r="T40" s="1"/>
  <c r="Q36"/>
  <c r="T36" s="1"/>
  <c r="V13"/>
  <c r="V19"/>
  <c r="V9"/>
  <c r="X19" l="1"/>
  <c r="T19"/>
  <c r="T6"/>
  <c r="X6"/>
  <c r="T16"/>
  <c r="X16"/>
  <c r="T9"/>
  <c r="X9"/>
  <c r="X13"/>
  <c r="T13"/>
  <c r="X36"/>
  <c r="X43"/>
  <c r="X40"/>
</calcChain>
</file>

<file path=xl/sharedStrings.xml><?xml version="1.0" encoding="utf-8"?>
<sst xmlns="http://schemas.openxmlformats.org/spreadsheetml/2006/main" count="141" uniqueCount="61">
  <si>
    <t>:</t>
  </si>
  <si>
    <t>Load/Tire</t>
  </si>
  <si>
    <t>Total Load</t>
  </si>
  <si>
    <t>Load Distribution</t>
  </si>
  <si>
    <t>Load Index</t>
  </si>
  <si>
    <t>Ave. Speed</t>
  </si>
  <si>
    <t>TIRE Size</t>
  </si>
  <si>
    <t>LOAD INDEX</t>
  </si>
  <si>
    <t>STD I/P</t>
  </si>
  <si>
    <t>NO</t>
  </si>
  <si>
    <t>Variasi Kapasitas Pembebanan (%)</t>
  </si>
  <si>
    <t>Simbol Kecepatan</t>
  </si>
  <si>
    <t>F</t>
  </si>
  <si>
    <t>G</t>
  </si>
  <si>
    <t>J</t>
  </si>
  <si>
    <t>K</t>
  </si>
  <si>
    <t>L</t>
  </si>
  <si>
    <t>M</t>
  </si>
  <si>
    <t>Kompensasi Tekanan Angin %</t>
  </si>
  <si>
    <t>speed</t>
  </si>
  <si>
    <t>I/P %</t>
  </si>
  <si>
    <t>Speed Symbol</t>
  </si>
  <si>
    <t>Tire size / Pattern</t>
  </si>
  <si>
    <t>9.00-20 14 EMSA</t>
  </si>
  <si>
    <t>10.00-20 16 EMSA</t>
  </si>
  <si>
    <t>10.00-20 16 SUTA</t>
  </si>
  <si>
    <t>10.00-20 16 VLGN</t>
  </si>
  <si>
    <t>11.00-20 16 EMSA</t>
  </si>
  <si>
    <t>11.00-20 16 VLGN</t>
  </si>
  <si>
    <t>11.00-20 16 UTB</t>
  </si>
  <si>
    <t>10.00R20 16 R150</t>
  </si>
  <si>
    <t>10.00R20 16 M840</t>
  </si>
  <si>
    <t>10.00R20 16 M857</t>
  </si>
  <si>
    <t>10.00R20 16 L301</t>
  </si>
  <si>
    <t>11.00R20 16 R150</t>
  </si>
  <si>
    <t>11.00R20 16 M840</t>
  </si>
  <si>
    <t>11.00R20 16 L355</t>
  </si>
  <si>
    <t>11.00R20 16 L317</t>
  </si>
  <si>
    <t>11R22.5 16 G611</t>
  </si>
  <si>
    <t>11R22.5 16 R150</t>
  </si>
  <si>
    <t>11R22.5 16 M729</t>
  </si>
  <si>
    <t>11R22.5 16 M711</t>
  </si>
  <si>
    <t>11R22.5 16 M840</t>
  </si>
  <si>
    <t>11R22.5 16 L355</t>
  </si>
  <si>
    <t>11R22.5 16 L317</t>
  </si>
  <si>
    <t>12.00R24 18 M840</t>
  </si>
  <si>
    <t>12.00R24 18 L355</t>
  </si>
  <si>
    <t>12.00R24 18 L317</t>
  </si>
  <si>
    <t>10.00-20 16 ULN</t>
  </si>
  <si>
    <t>11.00-20 18 VLGN</t>
  </si>
  <si>
    <t>12.00-24 18 VLGN</t>
  </si>
  <si>
    <t>10.00R20 16 L317</t>
  </si>
  <si>
    <t>Speed symbol</t>
  </si>
  <si>
    <t>I/P by ETRTO</t>
  </si>
  <si>
    <t>Result I/P</t>
  </si>
  <si>
    <t>Result Load</t>
  </si>
  <si>
    <t>MUST FILL WITH VALUE</t>
  </si>
  <si>
    <t>Possibility Tire Damage by :</t>
  </si>
  <si>
    <t>I/P</t>
  </si>
  <si>
    <t>Load</t>
  </si>
  <si>
    <t>Kind of damage by improper :</t>
  </si>
</sst>
</file>

<file path=xl/styles.xml><?xml version="1.0" encoding="utf-8"?>
<styleSheet xmlns="http://schemas.openxmlformats.org/spreadsheetml/2006/main">
  <numFmts count="8">
    <numFmt numFmtId="43" formatCode="_(* #,##0.00_);_(* \(#,##0.00\);_(* &quot;-&quot;??_);_(@_)"/>
    <numFmt numFmtId="164" formatCode="#,###\ &quot;T&quot;&quot;o&quot;&quot;n&quot;"/>
    <numFmt numFmtId="165" formatCode="#,###.##\ &quot;T&quot;&quot;o&quot;&quot;n&quot;"/>
    <numFmt numFmtId="166" formatCode="0.0%"/>
    <numFmt numFmtId="167" formatCode="#,###.#\ &quot;T&quot;&quot;o&quot;&quot;n&quot;"/>
    <numFmt numFmtId="168" formatCode="#,###\ &quot;K&quot;&quot;g&quot;"/>
    <numFmt numFmtId="169" formatCode="#,###\ &quot;P&quot;&quot;s&quot;&quot;i&quot;"/>
    <numFmt numFmtId="170" formatCode="#,###\ &quot;K&quot;&quot;m&quot;&quot;/&quot;&quot;h&quot;"/>
  </numFmts>
  <fonts count="7">
    <font>
      <sz val="10"/>
      <name val="Arial"/>
    </font>
    <font>
      <sz val="10"/>
      <name val="Arial"/>
    </font>
    <font>
      <sz val="8"/>
      <name val="Arial"/>
      <family val="2"/>
    </font>
    <font>
      <sz val="12"/>
      <name val="ＭＳ Ｐゴシック"/>
      <family val="3"/>
      <charset val="128"/>
    </font>
    <font>
      <sz val="10"/>
      <name val="SimSun"/>
    </font>
    <font>
      <b/>
      <sz val="10"/>
      <name val="SimSun"/>
    </font>
    <font>
      <b/>
      <sz val="10"/>
      <color rgb="FFFF0000"/>
      <name val="SimSun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medium">
        <color indexed="64"/>
      </left>
      <right style="medium">
        <color indexed="64"/>
      </right>
      <top style="thin">
        <color rgb="FFFF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93">
    <xf numFmtId="0" fontId="0" fillId="0" borderId="0" xfId="0"/>
    <xf numFmtId="0" fontId="4" fillId="0" borderId="0" xfId="0" applyFont="1" applyAlignment="1">
      <alignment vertical="center" wrapText="1"/>
    </xf>
    <xf numFmtId="167" fontId="4" fillId="0" borderId="0" xfId="0" applyNumberFormat="1" applyFont="1" applyBorder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165" fontId="4" fillId="0" borderId="0" xfId="0" applyNumberFormat="1" applyFont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167" fontId="4" fillId="0" borderId="0" xfId="0" applyNumberFormat="1" applyFont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168" fontId="4" fillId="0" borderId="0" xfId="0" applyNumberFormat="1" applyFont="1" applyAlignment="1">
      <alignment vertical="center"/>
    </xf>
    <xf numFmtId="169" fontId="4" fillId="0" borderId="0" xfId="0" applyNumberFormat="1" applyFont="1" applyAlignment="1">
      <alignment vertical="center"/>
    </xf>
    <xf numFmtId="9" fontId="4" fillId="0" borderId="0" xfId="2" applyFont="1" applyAlignment="1">
      <alignment vertical="center"/>
    </xf>
    <xf numFmtId="166" fontId="4" fillId="0" borderId="0" xfId="2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0" xfId="0" applyFont="1" applyAlignment="1">
      <alignment vertical="center"/>
    </xf>
    <xf numFmtId="168" fontId="5" fillId="0" borderId="0" xfId="1" applyNumberFormat="1" applyFont="1" applyAlignment="1">
      <alignment vertical="center"/>
    </xf>
    <xf numFmtId="169" fontId="5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5" fillId="0" borderId="14" xfId="0" applyFont="1" applyBorder="1" applyAlignment="1">
      <alignment vertical="center"/>
    </xf>
    <xf numFmtId="164" fontId="6" fillId="3" borderId="0" xfId="0" applyNumberFormat="1" applyFont="1" applyFill="1" applyAlignment="1">
      <alignment vertical="center"/>
    </xf>
    <xf numFmtId="0" fontId="5" fillId="3" borderId="0" xfId="0" applyFont="1" applyFill="1" applyAlignment="1">
      <alignment vertical="center"/>
    </xf>
    <xf numFmtId="170" fontId="5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vertical="center"/>
    </xf>
    <xf numFmtId="164" fontId="4" fillId="3" borderId="0" xfId="0" applyNumberFormat="1" applyFont="1" applyFill="1" applyAlignment="1">
      <alignment vertical="center"/>
    </xf>
    <xf numFmtId="0" fontId="5" fillId="0" borderId="5" xfId="0" applyFont="1" applyBorder="1" applyAlignment="1">
      <alignment horizontal="center" vertical="center"/>
    </xf>
    <xf numFmtId="170" fontId="5" fillId="0" borderId="0" xfId="0" applyNumberFormat="1" applyFont="1" applyFill="1" applyAlignment="1">
      <alignment vertical="center"/>
    </xf>
    <xf numFmtId="169" fontId="5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5" fillId="0" borderId="8" xfId="0" applyFont="1" applyBorder="1" applyAlignment="1">
      <alignment horizontal="center" vertical="center"/>
    </xf>
    <xf numFmtId="168" fontId="4" fillId="0" borderId="16" xfId="1" applyNumberFormat="1" applyFont="1" applyBorder="1" applyAlignment="1">
      <alignment vertical="center"/>
    </xf>
    <xf numFmtId="169" fontId="4" fillId="0" borderId="16" xfId="0" applyNumberFormat="1" applyFont="1" applyBorder="1" applyAlignment="1">
      <alignment vertical="center"/>
    </xf>
    <xf numFmtId="168" fontId="4" fillId="0" borderId="17" xfId="1" applyNumberFormat="1" applyFont="1" applyBorder="1" applyAlignment="1">
      <alignment vertical="center"/>
    </xf>
    <xf numFmtId="169" fontId="4" fillId="0" borderId="17" xfId="0" applyNumberFormat="1" applyFont="1" applyBorder="1" applyAlignment="1">
      <alignment vertical="center"/>
    </xf>
    <xf numFmtId="168" fontId="4" fillId="0" borderId="18" xfId="1" applyNumberFormat="1" applyFont="1" applyBorder="1" applyAlignment="1">
      <alignment vertical="center"/>
    </xf>
    <xf numFmtId="169" fontId="4" fillId="0" borderId="18" xfId="0" applyNumberFormat="1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168" fontId="4" fillId="0" borderId="16" xfId="0" applyNumberFormat="1" applyFont="1" applyBorder="1" applyAlignment="1">
      <alignment vertical="center"/>
    </xf>
    <xf numFmtId="168" fontId="4" fillId="0" borderId="17" xfId="0" applyNumberFormat="1" applyFont="1" applyBorder="1" applyAlignment="1">
      <alignment vertical="center"/>
    </xf>
    <xf numFmtId="168" fontId="4" fillId="0" borderId="18" xfId="0" applyNumberFormat="1" applyFont="1" applyBorder="1" applyAlignment="1">
      <alignment vertical="center"/>
    </xf>
    <xf numFmtId="0" fontId="5" fillId="0" borderId="19" xfId="0" applyFont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2" fontId="5" fillId="0" borderId="0" xfId="0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4" fillId="0" borderId="21" xfId="0" applyFont="1" applyFill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9" fontId="5" fillId="0" borderId="8" xfId="2" applyFont="1" applyFill="1" applyBorder="1" applyAlignment="1">
      <alignment horizontal="center" vertical="center"/>
    </xf>
    <xf numFmtId="9" fontId="5" fillId="0" borderId="7" xfId="2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5" fontId="4" fillId="0" borderId="8" xfId="0" applyNumberFormat="1" applyFont="1" applyBorder="1" applyAlignment="1">
      <alignment horizontal="center" vertical="center"/>
    </xf>
    <xf numFmtId="165" fontId="4" fillId="0" borderId="7" xfId="0" applyNumberFormat="1" applyFont="1" applyBorder="1" applyAlignment="1">
      <alignment horizontal="center" vertical="center"/>
    </xf>
    <xf numFmtId="168" fontId="4" fillId="0" borderId="8" xfId="0" applyNumberFormat="1" applyFont="1" applyBorder="1" applyAlignment="1">
      <alignment horizontal="center" vertical="center"/>
    </xf>
    <xf numFmtId="168" fontId="4" fillId="0" borderId="7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169" fontId="4" fillId="0" borderId="8" xfId="0" applyNumberFormat="1" applyFont="1" applyBorder="1" applyAlignment="1">
      <alignment horizontal="center" vertical="center"/>
    </xf>
    <xf numFmtId="169" fontId="4" fillId="0" borderId="7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 shrinkToFit="1"/>
    </xf>
    <xf numFmtId="0" fontId="5" fillId="0" borderId="7" xfId="0" applyFont="1" applyBorder="1" applyAlignment="1">
      <alignment horizontal="center" vertical="center" wrapText="1" shrinkToFit="1"/>
    </xf>
    <xf numFmtId="166" fontId="4" fillId="3" borderId="8" xfId="2" applyNumberFormat="1" applyFont="1" applyFill="1" applyBorder="1" applyAlignment="1">
      <alignment horizontal="center" vertical="center"/>
    </xf>
    <xf numFmtId="166" fontId="4" fillId="3" borderId="7" xfId="2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Percent" xfId="2" builtinId="5"/>
    <cellStyle name="標準_ARAB CONTRUCTORS(R.MIX CAIRO)" xfId="3"/>
  </cellStyles>
  <dxfs count="16">
    <dxf>
      <font>
        <b/>
        <i val="0"/>
        <color rgb="FF00B050"/>
      </font>
    </dxf>
    <dxf>
      <font>
        <b/>
        <i val="0"/>
        <color rgb="FFFF0000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0000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314738</xdr:colOff>
      <xdr:row>6</xdr:row>
      <xdr:rowOff>0</xdr:rowOff>
    </xdr:from>
    <xdr:to>
      <xdr:col>5</xdr:col>
      <xdr:colOff>240195</xdr:colOff>
      <xdr:row>7</xdr:row>
      <xdr:rowOff>107673</xdr:rowOff>
    </xdr:to>
    <xdr:grpSp>
      <xdr:nvGrpSpPr>
        <xdr:cNvPr id="5" name="Group 4"/>
        <xdr:cNvGrpSpPr/>
      </xdr:nvGrpSpPr>
      <xdr:grpSpPr>
        <a:xfrm>
          <a:off x="780405" y="1068917"/>
          <a:ext cx="242957" cy="266423"/>
          <a:chOff x="786847" y="1085022"/>
          <a:chExt cx="240196" cy="273325"/>
        </a:xfrm>
      </xdr:grpSpPr>
      <xdr:cxnSp macro="">
        <xdr:nvCxnSpPr>
          <xdr:cNvPr id="3" name="Straight Connector 2"/>
          <xdr:cNvCxnSpPr/>
        </xdr:nvCxnSpPr>
        <xdr:spPr>
          <a:xfrm rot="16200000" flipH="1">
            <a:off x="778565" y="1093304"/>
            <a:ext cx="165652" cy="149087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" name="Flowchart: Summing Junction 3"/>
          <xdr:cNvSpPr/>
        </xdr:nvSpPr>
        <xdr:spPr>
          <a:xfrm>
            <a:off x="877956" y="1184413"/>
            <a:ext cx="149087" cy="173934"/>
          </a:xfrm>
          <a:prstGeom prst="flowChartSummingJunction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5</xdr:col>
      <xdr:colOff>0</xdr:colOff>
      <xdr:row>36</xdr:row>
      <xdr:rowOff>0</xdr:rowOff>
    </xdr:from>
    <xdr:to>
      <xdr:col>5</xdr:col>
      <xdr:colOff>240196</xdr:colOff>
      <xdr:row>37</xdr:row>
      <xdr:rowOff>107673</xdr:rowOff>
    </xdr:to>
    <xdr:grpSp>
      <xdr:nvGrpSpPr>
        <xdr:cNvPr id="6" name="Group 5"/>
        <xdr:cNvGrpSpPr/>
      </xdr:nvGrpSpPr>
      <xdr:grpSpPr>
        <a:xfrm>
          <a:off x="783167" y="5789083"/>
          <a:ext cx="240196" cy="266423"/>
          <a:chOff x="786847" y="1085022"/>
          <a:chExt cx="240196" cy="273325"/>
        </a:xfrm>
      </xdr:grpSpPr>
      <xdr:cxnSp macro="">
        <xdr:nvCxnSpPr>
          <xdr:cNvPr id="7" name="Straight Connector 6"/>
          <xdr:cNvCxnSpPr/>
        </xdr:nvCxnSpPr>
        <xdr:spPr>
          <a:xfrm rot="16200000" flipH="1">
            <a:off x="778565" y="1093304"/>
            <a:ext cx="165652" cy="149087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" name="Flowchart: Summing Junction 7"/>
          <xdr:cNvSpPr/>
        </xdr:nvSpPr>
        <xdr:spPr>
          <a:xfrm>
            <a:off x="877956" y="1184413"/>
            <a:ext cx="149087" cy="173934"/>
          </a:xfrm>
          <a:prstGeom prst="flowChartSummingJunction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J57"/>
  <sheetViews>
    <sheetView tabSelected="1" topLeftCell="L16" zoomScale="90" zoomScaleNormal="90" workbookViewId="0">
      <selection activeCell="O28" sqref="O28"/>
    </sheetView>
  </sheetViews>
  <sheetFormatPr defaultRowHeight="12"/>
  <cols>
    <col min="1" max="1" width="2.7109375" style="4" customWidth="1"/>
    <col min="2" max="2" width="1.7109375" style="4" customWidth="1"/>
    <col min="3" max="3" width="0.85546875" style="4" customWidth="1"/>
    <col min="4" max="4" width="1.7109375" style="4" customWidth="1"/>
    <col min="5" max="6" width="4.7109375" style="4" customWidth="1"/>
    <col min="7" max="7" width="1.7109375" style="4" customWidth="1"/>
    <col min="8" max="8" width="0.85546875" style="4" customWidth="1"/>
    <col min="9" max="9" width="1.7109375" style="4" customWidth="1"/>
    <col min="10" max="10" width="5.7109375" style="4" customWidth="1"/>
    <col min="11" max="11" width="12.42578125" style="4" bestFit="1" customWidth="1"/>
    <col min="12" max="12" width="1.7109375" style="4" customWidth="1"/>
    <col min="13" max="13" width="10" style="4" bestFit="1" customWidth="1"/>
    <col min="14" max="14" width="1.7109375" style="4" customWidth="1"/>
    <col min="15" max="15" width="12" style="4" bestFit="1" customWidth="1"/>
    <col min="16" max="16" width="1.7109375" style="4" customWidth="1"/>
    <col min="17" max="17" width="13" style="4" bestFit="1" customWidth="1"/>
    <col min="18" max="19" width="1.7109375" style="4" customWidth="1"/>
    <col min="20" max="20" width="13.7109375" style="4" customWidth="1"/>
    <col min="21" max="21" width="2" style="4" bestFit="1" customWidth="1"/>
    <col min="22" max="22" width="19.5703125" style="4" bestFit="1" customWidth="1"/>
    <col min="23" max="24" width="8.7109375" style="40" customWidth="1"/>
    <col min="25" max="25" width="2" style="40" customWidth="1"/>
    <col min="26" max="28" width="8.7109375" style="40" customWidth="1"/>
    <col min="29" max="29" width="4.42578125" style="4" bestFit="1" customWidth="1"/>
    <col min="30" max="35" width="11" style="4" bestFit="1" customWidth="1"/>
    <col min="36" max="36" width="12.85546875" style="4" customWidth="1"/>
    <col min="37" max="16384" width="9.140625" style="4"/>
  </cols>
  <sheetData>
    <row r="1" spans="2:36" ht="24">
      <c r="T1" s="27" t="s">
        <v>22</v>
      </c>
      <c r="U1" s="22" t="s">
        <v>0</v>
      </c>
      <c r="V1" s="4" t="s">
        <v>47</v>
      </c>
      <c r="W1" s="25" t="s">
        <v>21</v>
      </c>
      <c r="AA1" s="25"/>
      <c r="AB1" s="25"/>
      <c r="AD1" s="63" t="s">
        <v>10</v>
      </c>
      <c r="AE1" s="63"/>
      <c r="AF1" s="63"/>
      <c r="AG1" s="63"/>
      <c r="AH1" s="63"/>
      <c r="AI1" s="63"/>
      <c r="AJ1" s="61" t="s">
        <v>18</v>
      </c>
    </row>
    <row r="2" spans="2:36">
      <c r="K2" s="4" t="s">
        <v>2</v>
      </c>
      <c r="L2" s="4" t="s">
        <v>0</v>
      </c>
      <c r="M2" s="34">
        <v>50</v>
      </c>
      <c r="N2" s="6"/>
      <c r="T2" s="22" t="s">
        <v>4</v>
      </c>
      <c r="U2" s="22" t="s">
        <v>0</v>
      </c>
      <c r="V2" s="23">
        <f>+VLOOKUP(V1,Data!$B$2:$D$50,2,FALSE)</f>
        <v>4000</v>
      </c>
      <c r="W2" s="20" t="str">
        <f>+VLOOKUP(V1,Data!$B$2:$E$50,4,FALSE)</f>
        <v>G</v>
      </c>
      <c r="AA2" s="20"/>
      <c r="AB2" s="20"/>
      <c r="AD2" s="63" t="s">
        <v>11</v>
      </c>
      <c r="AE2" s="63"/>
      <c r="AF2" s="63"/>
      <c r="AG2" s="63"/>
      <c r="AH2" s="63"/>
      <c r="AI2" s="63"/>
      <c r="AJ2" s="61"/>
    </row>
    <row r="3" spans="2:36" ht="12.75" customHeight="1">
      <c r="M3" s="6"/>
      <c r="N3" s="6"/>
      <c r="Q3" s="62" t="s">
        <v>53</v>
      </c>
      <c r="T3" s="22" t="s">
        <v>5</v>
      </c>
      <c r="U3" s="22" t="s">
        <v>0</v>
      </c>
      <c r="V3" s="32">
        <v>30</v>
      </c>
      <c r="W3" s="36"/>
      <c r="X3" s="66" t="s">
        <v>57</v>
      </c>
      <c r="Y3" s="66"/>
      <c r="Z3" s="66"/>
      <c r="AA3" s="36"/>
      <c r="AB3" s="36"/>
      <c r="AD3" s="41" t="s">
        <v>12</v>
      </c>
      <c r="AE3" s="41" t="s">
        <v>13</v>
      </c>
      <c r="AF3" s="41" t="s">
        <v>14</v>
      </c>
      <c r="AG3" s="41" t="s">
        <v>15</v>
      </c>
      <c r="AH3" s="41" t="s">
        <v>16</v>
      </c>
      <c r="AI3" s="41" t="s">
        <v>17</v>
      </c>
      <c r="AJ3" s="62"/>
    </row>
    <row r="4" spans="2:36" ht="12" customHeight="1">
      <c r="K4" s="80" t="s">
        <v>3</v>
      </c>
      <c r="L4" s="81"/>
      <c r="M4" s="82"/>
      <c r="O4" s="21" t="s">
        <v>1</v>
      </c>
      <c r="Q4" s="77"/>
      <c r="T4" s="22" t="s">
        <v>8</v>
      </c>
      <c r="U4" s="22" t="s">
        <v>0</v>
      </c>
      <c r="V4" s="24">
        <f>+VLOOKUP(V1,Data!$B$2:$E$30,3,FALSE)</f>
        <v>124</v>
      </c>
      <c r="W4" s="37"/>
      <c r="X4" s="66"/>
      <c r="Y4" s="66"/>
      <c r="Z4" s="66"/>
      <c r="AA4" s="37"/>
      <c r="AB4" s="37"/>
      <c r="AC4" s="48">
        <v>0</v>
      </c>
      <c r="AD4" s="42">
        <f>+$V$2*Data!I2</f>
        <v>10000</v>
      </c>
      <c r="AE4" s="42">
        <f>+$V$2*Data!J2</f>
        <v>10000</v>
      </c>
      <c r="AF4" s="42">
        <f>+$V$2*Data!K2</f>
        <v>10000</v>
      </c>
      <c r="AG4" s="42">
        <f>+$V$2*Data!L2</f>
        <v>10000</v>
      </c>
      <c r="AH4" s="42">
        <f>+$V$2*Data!M2</f>
        <v>10000</v>
      </c>
      <c r="AI4" s="42">
        <f>+$V$2*Data!N2</f>
        <v>10000</v>
      </c>
      <c r="AJ4" s="43">
        <f>+$V$4*Data!O2</f>
        <v>173.6</v>
      </c>
    </row>
    <row r="5" spans="2:36" ht="12.75" thickBot="1">
      <c r="K5" s="1"/>
      <c r="Q5" s="5"/>
      <c r="T5" s="29" t="s">
        <v>54</v>
      </c>
      <c r="V5" s="29" t="s">
        <v>55</v>
      </c>
      <c r="W5" s="38"/>
      <c r="X5" s="20" t="s">
        <v>58</v>
      </c>
      <c r="Y5" s="20"/>
      <c r="Z5" s="55" t="s">
        <v>59</v>
      </c>
      <c r="AA5" s="38"/>
      <c r="AB5" s="38"/>
      <c r="AC5" s="49">
        <v>5</v>
      </c>
      <c r="AD5" s="44">
        <f>+$V$2*Data!I3</f>
        <v>8400</v>
      </c>
      <c r="AE5" s="44">
        <f>+$V$2*Data!J3</f>
        <v>8400</v>
      </c>
      <c r="AF5" s="44">
        <f>+$V$2*Data!K3</f>
        <v>8400</v>
      </c>
      <c r="AG5" s="44">
        <f>+$V$2*Data!L3</f>
        <v>8400</v>
      </c>
      <c r="AH5" s="44">
        <f>+$V$2*Data!M3</f>
        <v>8400</v>
      </c>
      <c r="AI5" s="44">
        <f>+$V$2*Data!N3</f>
        <v>8400</v>
      </c>
      <c r="AJ5" s="45">
        <f>+$V$4*Data!O3</f>
        <v>173.6</v>
      </c>
    </row>
    <row r="6" spans="2:36">
      <c r="D6" s="67"/>
      <c r="E6" s="7"/>
      <c r="F6" s="8"/>
      <c r="G6" s="67"/>
      <c r="H6" s="9"/>
      <c r="I6" s="9"/>
      <c r="J6" s="9"/>
      <c r="K6" s="88">
        <v>0.13</v>
      </c>
      <c r="L6" s="83" t="s">
        <v>0</v>
      </c>
      <c r="M6" s="69">
        <f>+K6*$M$2</f>
        <v>6.5</v>
      </c>
      <c r="N6" s="2"/>
      <c r="O6" s="73">
        <f>+M6/2*1000</f>
        <v>3250</v>
      </c>
      <c r="Q6" s="78">
        <f>+((O6/$V$2)^1.25)*$V$4</f>
        <v>95.653506951590572</v>
      </c>
      <c r="T6" s="84" t="str">
        <f>IF(Q6&gt;=$V$4*110%,"CONSULT TO BS","OK")</f>
        <v>OK</v>
      </c>
      <c r="V6" s="59" t="str">
        <f>IF(O6&gt;=$V$2*1.15,"Over Load","OK")</f>
        <v>OK</v>
      </c>
      <c r="W6" s="39"/>
      <c r="X6" s="64" t="str">
        <f>IF(Q6&lt;=$V$4*110%,"OK",((Q6-$V$4)/$V$4))</f>
        <v>OK</v>
      </c>
      <c r="Y6" s="39"/>
      <c r="Z6" s="64" t="str">
        <f>IF(O6&lt;=$V$2*115%,"OK",((O6-$V$2)/$V$2))</f>
        <v>OK</v>
      </c>
      <c r="AA6" s="56"/>
      <c r="AB6" s="39"/>
      <c r="AC6" s="49">
        <v>10</v>
      </c>
      <c r="AD6" s="44">
        <f>+$V$2*Data!I4</f>
        <v>7200</v>
      </c>
      <c r="AE6" s="44">
        <f>+$V$2*Data!J4</f>
        <v>7200</v>
      </c>
      <c r="AF6" s="44">
        <f>+$V$2*Data!K4</f>
        <v>7200</v>
      </c>
      <c r="AG6" s="44">
        <f>+$V$2*Data!L4</f>
        <v>7200</v>
      </c>
      <c r="AH6" s="44">
        <f>+$V$2*Data!M4</f>
        <v>7200</v>
      </c>
      <c r="AI6" s="44">
        <f>+$V$2*Data!N4</f>
        <v>7200</v>
      </c>
      <c r="AJ6" s="45">
        <f>+$V$4*Data!O4</f>
        <v>161.20000000000002</v>
      </c>
    </row>
    <row r="7" spans="2:36" ht="12.75" thickBot="1">
      <c r="D7" s="68"/>
      <c r="F7" s="10"/>
      <c r="G7" s="68"/>
      <c r="K7" s="89"/>
      <c r="L7" s="83"/>
      <c r="M7" s="70"/>
      <c r="N7" s="2"/>
      <c r="O7" s="74"/>
      <c r="Q7" s="79"/>
      <c r="T7" s="85"/>
      <c r="V7" s="60"/>
      <c r="W7" s="39"/>
      <c r="X7" s="65"/>
      <c r="Y7" s="39"/>
      <c r="Z7" s="65"/>
      <c r="AA7" s="56"/>
      <c r="AB7" s="39"/>
      <c r="AC7" s="49">
        <v>15</v>
      </c>
      <c r="AD7" s="44">
        <f>+$V$2*Data!I5</f>
        <v>6600</v>
      </c>
      <c r="AE7" s="44">
        <f>+$V$2*Data!J5</f>
        <v>6600</v>
      </c>
      <c r="AF7" s="44">
        <f>+$V$2*Data!K5</f>
        <v>6600</v>
      </c>
      <c r="AG7" s="44">
        <f>+$V$2*Data!L5</f>
        <v>6600</v>
      </c>
      <c r="AH7" s="44">
        <f>+$V$2*Data!M5</f>
        <v>6600</v>
      </c>
      <c r="AI7" s="44">
        <f>+$V$2*Data!N5</f>
        <v>6600</v>
      </c>
      <c r="AJ7" s="45">
        <f>+$V$4*Data!O5</f>
        <v>155</v>
      </c>
    </row>
    <row r="8" spans="2:36" ht="12.75" thickBot="1">
      <c r="F8" s="11"/>
      <c r="O8" s="12"/>
      <c r="AC8" s="49">
        <v>20</v>
      </c>
      <c r="AD8" s="44">
        <f>+$V$2*Data!I6</f>
        <v>6000</v>
      </c>
      <c r="AE8" s="44">
        <f>+$V$2*Data!J6</f>
        <v>6000</v>
      </c>
      <c r="AF8" s="44">
        <f>+$V$2*Data!K6</f>
        <v>6000</v>
      </c>
      <c r="AG8" s="44">
        <f>+$V$2*Data!L6</f>
        <v>6000</v>
      </c>
      <c r="AH8" s="44">
        <f>+$V$2*Data!M6</f>
        <v>6000</v>
      </c>
      <c r="AI8" s="44">
        <f>+$V$2*Data!N6</f>
        <v>6000</v>
      </c>
      <c r="AJ8" s="45">
        <f>+$V$4*Data!O6</f>
        <v>150.04</v>
      </c>
    </row>
    <row r="9" spans="2:36" ht="12" customHeight="1">
      <c r="D9" s="67"/>
      <c r="E9" s="7"/>
      <c r="F9" s="13"/>
      <c r="G9" s="67"/>
      <c r="H9" s="7"/>
      <c r="I9" s="9"/>
      <c r="J9" s="9"/>
      <c r="K9" s="88">
        <v>0.13</v>
      </c>
      <c r="L9" s="83" t="s">
        <v>0</v>
      </c>
      <c r="M9" s="71">
        <f>+K9*$M$2</f>
        <v>6.5</v>
      </c>
      <c r="N9" s="3"/>
      <c r="O9" s="73">
        <f>+M9/2*1000</f>
        <v>3250</v>
      </c>
      <c r="Q9" s="78">
        <f>+((O9/$V$2)^1.25)*$V$4</f>
        <v>95.653506951590572</v>
      </c>
      <c r="T9" s="75" t="str">
        <f>IF(Q9&gt;=$V$4*110%,"CONSULT TO BS","OK")</f>
        <v>OK</v>
      </c>
      <c r="V9" s="59" t="str">
        <f>IF(O9&gt;=$V$2*1.15,"Over Load","OK")</f>
        <v>OK</v>
      </c>
      <c r="W9" s="39"/>
      <c r="X9" s="64" t="str">
        <f>IF(Q9&lt;=$V$4*110%,"OK",((Q9-$V$4)/$V$4))</f>
        <v>OK</v>
      </c>
      <c r="Y9" s="39"/>
      <c r="Z9" s="64" t="str">
        <f>IF(O9&lt;=$V$2*115%,"OK",((O9-$V$2)/$V$2))</f>
        <v>OK</v>
      </c>
      <c r="AA9" s="39"/>
      <c r="AB9" s="39"/>
      <c r="AC9" s="49">
        <v>25</v>
      </c>
      <c r="AD9" s="44">
        <f>+$V$2*Data!I7</f>
        <v>5400</v>
      </c>
      <c r="AE9" s="44">
        <f>+$V$2*Data!J7</f>
        <v>5400</v>
      </c>
      <c r="AF9" s="44">
        <f>+$V$2*Data!K7</f>
        <v>5400</v>
      </c>
      <c r="AG9" s="44">
        <f>+$V$2*Data!L7</f>
        <v>5400</v>
      </c>
      <c r="AH9" s="44">
        <f>+$V$2*Data!M7</f>
        <v>5400</v>
      </c>
      <c r="AI9" s="44">
        <f>+$V$2*Data!N7</f>
        <v>5400</v>
      </c>
      <c r="AJ9" s="45">
        <f>+$V$4*Data!O7</f>
        <v>145.07999999999998</v>
      </c>
    </row>
    <row r="10" spans="2:36" ht="12.75" thickBot="1">
      <c r="D10" s="68"/>
      <c r="F10" s="11"/>
      <c r="G10" s="68"/>
      <c r="K10" s="89"/>
      <c r="L10" s="83"/>
      <c r="M10" s="72"/>
      <c r="N10" s="3"/>
      <c r="O10" s="74"/>
      <c r="Q10" s="79"/>
      <c r="T10" s="76"/>
      <c r="V10" s="60"/>
      <c r="W10" s="39"/>
      <c r="X10" s="65"/>
      <c r="Y10" s="39"/>
      <c r="Z10" s="65"/>
      <c r="AA10" s="39"/>
      <c r="AB10" s="39"/>
      <c r="AC10" s="49">
        <v>30</v>
      </c>
      <c r="AD10" s="44">
        <f>+$V$2*Data!I8</f>
        <v>5000</v>
      </c>
      <c r="AE10" s="44">
        <f>+$V$2*Data!J8</f>
        <v>5000</v>
      </c>
      <c r="AF10" s="44">
        <f>+$V$2*Data!K8</f>
        <v>5000</v>
      </c>
      <c r="AG10" s="44">
        <f>+$V$2*Data!L8</f>
        <v>5000</v>
      </c>
      <c r="AH10" s="44">
        <f>+$V$2*Data!M8</f>
        <v>5000</v>
      </c>
      <c r="AI10" s="44">
        <f>+$V$2*Data!N8</f>
        <v>5000</v>
      </c>
      <c r="AJ10" s="45">
        <f>+$V$4*Data!O8</f>
        <v>140.11999999999998</v>
      </c>
    </row>
    <row r="11" spans="2:36" ht="12.75" thickBot="1">
      <c r="F11" s="11"/>
      <c r="O11" s="12"/>
      <c r="AC11" s="49">
        <v>35</v>
      </c>
      <c r="AD11" s="44">
        <f>+$V$2*Data!I9</f>
        <v>4760</v>
      </c>
      <c r="AE11" s="44">
        <f>+$V$2*Data!J9</f>
        <v>4760</v>
      </c>
      <c r="AF11" s="44">
        <f>+$V$2*Data!K9</f>
        <v>4760</v>
      </c>
      <c r="AG11" s="44">
        <f>+$V$2*Data!L9</f>
        <v>4760</v>
      </c>
      <c r="AH11" s="44">
        <f>+$V$2*Data!M9</f>
        <v>4760</v>
      </c>
      <c r="AI11" s="44">
        <f>+$V$2*Data!N9</f>
        <v>4760</v>
      </c>
      <c r="AJ11" s="45">
        <f>+$V$4*Data!O9</f>
        <v>137.64000000000001</v>
      </c>
    </row>
    <row r="12" spans="2:36" ht="12.75" thickBot="1">
      <c r="F12" s="11"/>
      <c r="O12" s="12"/>
      <c r="AA12" s="58"/>
      <c r="AC12" s="49">
        <v>40</v>
      </c>
      <c r="AD12" s="44">
        <f>+$V$2*Data!I10</f>
        <v>4600</v>
      </c>
      <c r="AE12" s="44">
        <f>+$V$2*Data!J10</f>
        <v>4600</v>
      </c>
      <c r="AF12" s="44">
        <f>+$V$2*Data!K10</f>
        <v>4600</v>
      </c>
      <c r="AG12" s="44">
        <f>+$V$2*Data!L10</f>
        <v>4600</v>
      </c>
      <c r="AH12" s="44">
        <f>+$V$2*Data!M10</f>
        <v>4600</v>
      </c>
      <c r="AI12" s="44">
        <f>+$V$2*Data!N10</f>
        <v>4600</v>
      </c>
      <c r="AJ12" s="45">
        <f>+$V$4*Data!O10</f>
        <v>136.4</v>
      </c>
    </row>
    <row r="13" spans="2:36" ht="12" customHeight="1">
      <c r="B13" s="67"/>
      <c r="D13" s="67"/>
      <c r="E13" s="7"/>
      <c r="F13" s="13"/>
      <c r="G13" s="67"/>
      <c r="I13" s="67"/>
      <c r="J13" s="7"/>
      <c r="K13" s="88">
        <v>0.25800000000000001</v>
      </c>
      <c r="L13" s="83" t="s">
        <v>0</v>
      </c>
      <c r="M13" s="69">
        <f>+K13*$M$2</f>
        <v>12.9</v>
      </c>
      <c r="N13" s="2"/>
      <c r="O13" s="73">
        <f>+M13/4*1000</f>
        <v>3225</v>
      </c>
      <c r="Q13" s="78">
        <f>+((O13/$V$2)^1.25)*$V$4</f>
        <v>94.73464776934243</v>
      </c>
      <c r="T13" s="75" t="str">
        <f>IF(Q13&gt;=$V$4*110%,"CONSULT TO BS","OK")</f>
        <v>OK</v>
      </c>
      <c r="V13" s="59" t="str">
        <f>IF(O13&gt;=$V$2*1.15,"Over Load","OK")</f>
        <v>OK</v>
      </c>
      <c r="W13" s="39"/>
      <c r="X13" s="64" t="str">
        <f>IF(Q13&lt;=$V$4*110%,"OK",((Q13-$V$4)/$V$4))</f>
        <v>OK</v>
      </c>
      <c r="Y13" s="39"/>
      <c r="Z13" s="64" t="str">
        <f>IF(O13&lt;=$V$2*115%,"OK",((O13-$V$2)/$V$2))</f>
        <v>OK</v>
      </c>
      <c r="AA13" s="39"/>
      <c r="AB13" s="39"/>
      <c r="AC13" s="49">
        <v>45</v>
      </c>
      <c r="AD13" s="44">
        <f>+$V$2*Data!I11</f>
        <v>4520</v>
      </c>
      <c r="AE13" s="44">
        <f>+$V$2*Data!J11</f>
        <v>4520</v>
      </c>
      <c r="AF13" s="44">
        <f>+$V$2*Data!K11</f>
        <v>4520</v>
      </c>
      <c r="AG13" s="44">
        <f>+$V$2*Data!L11</f>
        <v>4520</v>
      </c>
      <c r="AH13" s="44">
        <f>+$V$2*Data!M11</f>
        <v>4520</v>
      </c>
      <c r="AI13" s="44">
        <f>+$V$2*Data!N11</f>
        <v>4520</v>
      </c>
      <c r="AJ13" s="45">
        <f>+$V$4*Data!O11</f>
        <v>135.16</v>
      </c>
    </row>
    <row r="14" spans="2:36" ht="12.75" thickBot="1">
      <c r="B14" s="68"/>
      <c r="D14" s="68"/>
      <c r="F14" s="11"/>
      <c r="G14" s="68"/>
      <c r="I14" s="68"/>
      <c r="K14" s="89"/>
      <c r="L14" s="83"/>
      <c r="M14" s="70"/>
      <c r="N14" s="2"/>
      <c r="O14" s="74"/>
      <c r="Q14" s="79"/>
      <c r="T14" s="76"/>
      <c r="V14" s="60"/>
      <c r="W14" s="39"/>
      <c r="X14" s="65"/>
      <c r="Y14" s="39"/>
      <c r="Z14" s="65"/>
      <c r="AA14" s="39"/>
      <c r="AB14" s="39"/>
      <c r="AC14" s="49">
        <v>50</v>
      </c>
      <c r="AD14" s="44">
        <f>+$V$2*Data!I12</f>
        <v>4480</v>
      </c>
      <c r="AE14" s="44">
        <f>+$V$2*Data!J12</f>
        <v>4480</v>
      </c>
      <c r="AF14" s="44">
        <f>+$V$2*Data!K12</f>
        <v>4480</v>
      </c>
      <c r="AG14" s="44">
        <f>+$V$2*Data!L12</f>
        <v>4480</v>
      </c>
      <c r="AH14" s="44">
        <f>+$V$2*Data!M12</f>
        <v>4480</v>
      </c>
      <c r="AI14" s="44">
        <f>+$V$2*Data!N12</f>
        <v>4480</v>
      </c>
      <c r="AJ14" s="45">
        <f>+$V$4*Data!O12</f>
        <v>133.92000000000002</v>
      </c>
    </row>
    <row r="15" spans="2:36" ht="12.75" thickBot="1">
      <c r="F15" s="11"/>
      <c r="O15" s="12"/>
      <c r="AC15" s="49">
        <v>55</v>
      </c>
      <c r="AD15" s="44">
        <f>+$V$2*Data!I13</f>
        <v>4440</v>
      </c>
      <c r="AE15" s="44">
        <f>+$V$2*Data!J13</f>
        <v>4440</v>
      </c>
      <c r="AF15" s="44">
        <f>+$V$2*Data!K13</f>
        <v>4440</v>
      </c>
      <c r="AG15" s="44">
        <f>+$V$2*Data!L13</f>
        <v>4440</v>
      </c>
      <c r="AH15" s="44">
        <f>+$V$2*Data!M13</f>
        <v>4440</v>
      </c>
      <c r="AI15" s="44">
        <f>+$V$2*Data!N13</f>
        <v>4440</v>
      </c>
      <c r="AJ15" s="45">
        <f>+$V$4*Data!O13</f>
        <v>132.68</v>
      </c>
    </row>
    <row r="16" spans="2:36" ht="12" customHeight="1">
      <c r="B16" s="67"/>
      <c r="D16" s="67"/>
      <c r="E16" s="7"/>
      <c r="F16" s="13"/>
      <c r="G16" s="67"/>
      <c r="I16" s="67"/>
      <c r="J16" s="7"/>
      <c r="K16" s="88">
        <v>0.27</v>
      </c>
      <c r="L16" s="83" t="s">
        <v>0</v>
      </c>
      <c r="M16" s="71">
        <f>+K16*$M$2</f>
        <v>13.5</v>
      </c>
      <c r="N16" s="3"/>
      <c r="O16" s="73">
        <f>+M16/4*1000</f>
        <v>3375</v>
      </c>
      <c r="Q16" s="78">
        <f>+((O16/$V$2)^1.25)*$V$4</f>
        <v>100.27413342264938</v>
      </c>
      <c r="T16" s="75" t="str">
        <f>IF(Q16&gt;=$V$4*110%,"CONSULT TO BS","OK")</f>
        <v>OK</v>
      </c>
      <c r="V16" s="59" t="str">
        <f>IF(O16&gt;=$V$2*1.15,"Over Load","OK")</f>
        <v>OK</v>
      </c>
      <c r="W16" s="39"/>
      <c r="X16" s="64" t="str">
        <f>IF(Q16&lt;=$V$4*110%,"OK",((Q16-$V$4)/$V$4))</f>
        <v>OK</v>
      </c>
      <c r="Y16" s="39"/>
      <c r="Z16" s="64" t="str">
        <f>IF(O16&lt;=$V$2*115%,"OK",((O16-$V$2)/$V$2))</f>
        <v>OK</v>
      </c>
      <c r="AA16" s="39"/>
      <c r="AB16" s="39"/>
      <c r="AC16" s="49">
        <v>60</v>
      </c>
      <c r="AD16" s="44">
        <f>+$V$2*Data!I14</f>
        <v>4400</v>
      </c>
      <c r="AE16" s="44">
        <f>+$V$2*Data!J14</f>
        <v>4400</v>
      </c>
      <c r="AF16" s="44">
        <f>+$V$2*Data!K14</f>
        <v>4400</v>
      </c>
      <c r="AG16" s="44">
        <f>+$V$2*Data!L14</f>
        <v>4400</v>
      </c>
      <c r="AH16" s="44">
        <f>+$V$2*Data!M14</f>
        <v>4400</v>
      </c>
      <c r="AI16" s="44">
        <f>+$V$2*Data!N14</f>
        <v>4400</v>
      </c>
      <c r="AJ16" s="45">
        <f>+$V$4*Data!O14</f>
        <v>131.44</v>
      </c>
    </row>
    <row r="17" spans="2:36" ht="12.75" thickBot="1">
      <c r="B17" s="68"/>
      <c r="D17" s="68"/>
      <c r="F17" s="11"/>
      <c r="G17" s="68"/>
      <c r="I17" s="68"/>
      <c r="K17" s="89"/>
      <c r="L17" s="83"/>
      <c r="M17" s="72"/>
      <c r="N17" s="3"/>
      <c r="O17" s="74"/>
      <c r="Q17" s="79"/>
      <c r="T17" s="76"/>
      <c r="V17" s="60"/>
      <c r="W17" s="39"/>
      <c r="X17" s="65"/>
      <c r="Y17" s="39"/>
      <c r="Z17" s="65"/>
      <c r="AA17" s="39"/>
      <c r="AB17" s="39"/>
      <c r="AC17" s="49">
        <v>65</v>
      </c>
      <c r="AD17" s="44">
        <f>+$V$2*Data!I15</f>
        <v>4300</v>
      </c>
      <c r="AE17" s="44">
        <f>+$V$2*Data!J15</f>
        <v>4340</v>
      </c>
      <c r="AF17" s="44">
        <f>+$V$2*Data!K15</f>
        <v>4340</v>
      </c>
      <c r="AG17" s="44">
        <f>+$V$2*Data!L15</f>
        <v>4340</v>
      </c>
      <c r="AH17" s="44">
        <f>+$V$2*Data!M15</f>
        <v>4340</v>
      </c>
      <c r="AI17" s="44">
        <f>+$V$2*Data!N15</f>
        <v>4340</v>
      </c>
      <c r="AJ17" s="45">
        <f>+$V$4*Data!O15</f>
        <v>128.96</v>
      </c>
    </row>
    <row r="18" spans="2:36" ht="12.75" thickBot="1">
      <c r="F18" s="11"/>
      <c r="O18" s="12"/>
      <c r="AC18" s="49">
        <v>70</v>
      </c>
      <c r="AD18" s="44">
        <f>+$V$2*Data!I16</f>
        <v>4200</v>
      </c>
      <c r="AE18" s="44">
        <f>+$V$2*Data!J16</f>
        <v>4280</v>
      </c>
      <c r="AF18" s="44">
        <f>+$V$2*Data!K16</f>
        <v>4280</v>
      </c>
      <c r="AG18" s="44">
        <f>+$V$2*Data!L16</f>
        <v>4280</v>
      </c>
      <c r="AH18" s="44">
        <f>+$V$2*Data!M16</f>
        <v>4280</v>
      </c>
      <c r="AI18" s="44">
        <f>+$V$2*Data!N16</f>
        <v>4280</v>
      </c>
      <c r="AJ18" s="45">
        <f>+$V$4*Data!O16</f>
        <v>126.48</v>
      </c>
    </row>
    <row r="19" spans="2:36" ht="12" customHeight="1">
      <c r="B19" s="67"/>
      <c r="D19" s="67"/>
      <c r="E19" s="7"/>
      <c r="F19" s="13"/>
      <c r="G19" s="67"/>
      <c r="I19" s="67"/>
      <c r="J19" s="7"/>
      <c r="K19" s="88"/>
      <c r="L19" s="83" t="s">
        <v>0</v>
      </c>
      <c r="M19" s="69">
        <f>+K19*$M$2</f>
        <v>0</v>
      </c>
      <c r="N19" s="2"/>
      <c r="O19" s="73">
        <f>+M19/4*1000</f>
        <v>0</v>
      </c>
      <c r="Q19" s="78">
        <f>+((O19/$V$2)^1.25)*$V$4</f>
        <v>0</v>
      </c>
      <c r="T19" s="75" t="str">
        <f>IF(Q19&gt;=$V$4*110%,"CONSULT TO BS","OK")</f>
        <v>OK</v>
      </c>
      <c r="V19" s="59" t="str">
        <f>IF(O19&gt;=$V$2*1.15,"Over Load","OK")</f>
        <v>OK</v>
      </c>
      <c r="W19" s="39"/>
      <c r="X19" s="64" t="str">
        <f>IF(Q19&lt;=$V$4*110%,"OK",((Q19-$V$4)/$V$4))</f>
        <v>OK</v>
      </c>
      <c r="Y19" s="39"/>
      <c r="Z19" s="64" t="str">
        <f>IF(O19&lt;=$V$2*115%,"OK",((O19-$V$2)/$V$2))</f>
        <v>OK</v>
      </c>
      <c r="AA19" s="39"/>
      <c r="AB19" s="39"/>
      <c r="AC19" s="49">
        <v>75</v>
      </c>
      <c r="AD19" s="44">
        <f>+$V$2*Data!I17</f>
        <v>4100</v>
      </c>
      <c r="AE19" s="44">
        <f>+$V$2*Data!J17</f>
        <v>4220</v>
      </c>
      <c r="AF19" s="44">
        <f>+$V$2*Data!K17</f>
        <v>4220</v>
      </c>
      <c r="AG19" s="44">
        <f>+$V$2*Data!L17</f>
        <v>4220</v>
      </c>
      <c r="AH19" s="44">
        <f>+$V$2*Data!M17</f>
        <v>4220</v>
      </c>
      <c r="AI19" s="44">
        <f>+$V$2*Data!N17</f>
        <v>4220</v>
      </c>
      <c r="AJ19" s="45">
        <f>+$V$4*Data!O17</f>
        <v>125.24</v>
      </c>
    </row>
    <row r="20" spans="2:36" ht="12.75" thickBot="1">
      <c r="B20" s="68"/>
      <c r="D20" s="68"/>
      <c r="G20" s="68"/>
      <c r="I20" s="68"/>
      <c r="K20" s="89"/>
      <c r="L20" s="83"/>
      <c r="M20" s="70"/>
      <c r="N20" s="2"/>
      <c r="O20" s="74"/>
      <c r="Q20" s="79"/>
      <c r="T20" s="76"/>
      <c r="V20" s="60"/>
      <c r="W20" s="39"/>
      <c r="X20" s="65"/>
      <c r="Y20" s="39"/>
      <c r="Z20" s="65"/>
      <c r="AA20" s="39"/>
      <c r="AB20" s="39"/>
      <c r="AC20" s="49">
        <v>80</v>
      </c>
      <c r="AD20" s="44">
        <f>+$V$2*Data!I18</f>
        <v>4000</v>
      </c>
      <c r="AE20" s="44">
        <f>+$V$2*Data!J18</f>
        <v>4160</v>
      </c>
      <c r="AF20" s="44">
        <f>+$V$2*Data!K18</f>
        <v>4160</v>
      </c>
      <c r="AG20" s="44">
        <f>+$V$2*Data!L18</f>
        <v>4160</v>
      </c>
      <c r="AH20" s="44">
        <f>+$V$2*Data!M18</f>
        <v>4160</v>
      </c>
      <c r="AI20" s="44">
        <f>+$V$2*Data!N18</f>
        <v>4160</v>
      </c>
      <c r="AJ20" s="45">
        <f>+$V$4*Data!O18</f>
        <v>124</v>
      </c>
    </row>
    <row r="21" spans="2:36">
      <c r="AC21" s="49">
        <v>85</v>
      </c>
      <c r="AD21" s="44">
        <f>+$V$2*Data!I19</f>
        <v>0</v>
      </c>
      <c r="AE21" s="44">
        <f>+$V$2*Data!J19</f>
        <v>4080</v>
      </c>
      <c r="AF21" s="44">
        <f>+$V$2*Data!K19</f>
        <v>4120</v>
      </c>
      <c r="AG21" s="44">
        <f>+$V$2*Data!L19</f>
        <v>4120</v>
      </c>
      <c r="AH21" s="44">
        <f>+$V$2*Data!M19</f>
        <v>4120</v>
      </c>
      <c r="AI21" s="44">
        <f>+$V$2*Data!N19</f>
        <v>4120</v>
      </c>
      <c r="AJ21" s="45">
        <f>+$V$4*Data!O19</f>
        <v>124</v>
      </c>
    </row>
    <row r="22" spans="2:36">
      <c r="T22" s="4" t="s">
        <v>60</v>
      </c>
      <c r="AC22" s="49">
        <v>90</v>
      </c>
      <c r="AD22" s="44">
        <f>+$V$2*Data!I20</f>
        <v>0</v>
      </c>
      <c r="AE22" s="44">
        <f>+$V$2*Data!J20</f>
        <v>4000</v>
      </c>
      <c r="AF22" s="44">
        <f>+$V$2*Data!K20</f>
        <v>4080</v>
      </c>
      <c r="AG22" s="44">
        <f>+$V$2*Data!L20</f>
        <v>4080</v>
      </c>
      <c r="AH22" s="44">
        <f>+$V$2*Data!M20</f>
        <v>4080</v>
      </c>
      <c r="AI22" s="44">
        <f>+$V$2*Data!N20</f>
        <v>4080</v>
      </c>
      <c r="AJ22" s="45">
        <f>+$V$4*Data!O20</f>
        <v>124</v>
      </c>
    </row>
    <row r="23" spans="2:36">
      <c r="T23" s="4" t="s">
        <v>58</v>
      </c>
      <c r="U23" s="4" t="s">
        <v>0</v>
      </c>
      <c r="AC23" s="49">
        <v>95</v>
      </c>
      <c r="AD23" s="44">
        <f>+$V$2*Data!I21</f>
        <v>0</v>
      </c>
      <c r="AE23" s="44">
        <f>+$V$2*Data!J21</f>
        <v>0</v>
      </c>
      <c r="AF23" s="44">
        <f>+$V$2*Data!K21</f>
        <v>4040</v>
      </c>
      <c r="AG23" s="44">
        <f>+$V$2*Data!L21</f>
        <v>4040</v>
      </c>
      <c r="AH23" s="44">
        <f>+$V$2*Data!M21</f>
        <v>4040</v>
      </c>
      <c r="AI23" s="44">
        <f>+$V$2*Data!N21</f>
        <v>4040</v>
      </c>
      <c r="AJ23" s="45">
        <f>+$V$4*Data!O21</f>
        <v>124</v>
      </c>
    </row>
    <row r="24" spans="2:36">
      <c r="K24" s="33"/>
      <c r="L24" s="4" t="s">
        <v>0</v>
      </c>
      <c r="M24" s="4" t="s">
        <v>56</v>
      </c>
      <c r="AC24" s="49">
        <v>100</v>
      </c>
      <c r="AD24" s="44">
        <f>+$V$2*Data!I22</f>
        <v>0</v>
      </c>
      <c r="AE24" s="44">
        <f>+$V$2*Data!J22</f>
        <v>0</v>
      </c>
      <c r="AF24" s="44">
        <f>+$V$2*Data!K22</f>
        <v>4000</v>
      </c>
      <c r="AG24" s="44">
        <f>+$V$2*Data!L22</f>
        <v>4000</v>
      </c>
      <c r="AH24" s="44">
        <f>+$V$2*Data!M22</f>
        <v>4000</v>
      </c>
      <c r="AI24" s="44">
        <f>+$V$2*Data!N22</f>
        <v>4000</v>
      </c>
      <c r="AJ24" s="45">
        <f>+$V$4*Data!O22</f>
        <v>124</v>
      </c>
    </row>
    <row r="25" spans="2:36">
      <c r="AC25" s="49">
        <v>110</v>
      </c>
      <c r="AD25" s="44">
        <f>+$V$2*Data!I23</f>
        <v>0</v>
      </c>
      <c r="AE25" s="44">
        <f>+$V$2*Data!J23</f>
        <v>0</v>
      </c>
      <c r="AF25" s="44">
        <f>+$V$2*Data!K23</f>
        <v>0</v>
      </c>
      <c r="AG25" s="44">
        <f>+$V$2*Data!L23</f>
        <v>4000</v>
      </c>
      <c r="AH25" s="44">
        <f>+$V$2*Data!M23</f>
        <v>4000</v>
      </c>
      <c r="AI25" s="44">
        <f>+$V$2*Data!N23</f>
        <v>4000</v>
      </c>
      <c r="AJ25" s="45">
        <f>+$V$4*Data!O23</f>
        <v>124</v>
      </c>
    </row>
    <row r="26" spans="2:36">
      <c r="AC26" s="49">
        <v>120</v>
      </c>
      <c r="AD26" s="44">
        <f>+$V$2*Data!I24</f>
        <v>0</v>
      </c>
      <c r="AE26" s="44">
        <f>+$V$2*Data!J24</f>
        <v>0</v>
      </c>
      <c r="AF26" s="44">
        <f>+$V$2*Data!K24</f>
        <v>0</v>
      </c>
      <c r="AG26" s="44">
        <f>+$V$2*Data!L24</f>
        <v>0</v>
      </c>
      <c r="AH26" s="44">
        <f>+$V$2*Data!M24</f>
        <v>4000</v>
      </c>
      <c r="AI26" s="44">
        <f>+$V$2*Data!N24</f>
        <v>4000</v>
      </c>
      <c r="AJ26" s="45">
        <f>+$V$4*Data!O24</f>
        <v>124</v>
      </c>
    </row>
    <row r="27" spans="2:36">
      <c r="AC27" s="50">
        <v>130</v>
      </c>
      <c r="AD27" s="46">
        <f>+$V$2*Data!I25</f>
        <v>0</v>
      </c>
      <c r="AE27" s="46">
        <f>+$V$2*Data!J25</f>
        <v>0</v>
      </c>
      <c r="AF27" s="46">
        <f>+$V$2*Data!K25</f>
        <v>0</v>
      </c>
      <c r="AG27" s="46">
        <f>+$V$2*Data!L25</f>
        <v>0</v>
      </c>
      <c r="AH27" s="46">
        <f>+$V$2*Data!M25</f>
        <v>0</v>
      </c>
      <c r="AI27" s="46">
        <f>+$V$2*Data!N25</f>
        <v>4000</v>
      </c>
      <c r="AJ27" s="47">
        <f>+$V$4*Data!O25</f>
        <v>124</v>
      </c>
    </row>
    <row r="31" spans="2:36" ht="24">
      <c r="T31" s="27" t="s">
        <v>22</v>
      </c>
      <c r="U31" s="22" t="s">
        <v>0</v>
      </c>
      <c r="V31" s="31" t="s">
        <v>25</v>
      </c>
      <c r="W31" s="25" t="s">
        <v>21</v>
      </c>
      <c r="X31" s="25"/>
      <c r="Y31" s="25"/>
      <c r="Z31" s="25"/>
      <c r="AA31" s="25"/>
      <c r="AB31" s="25"/>
      <c r="AD31" s="63" t="s">
        <v>10</v>
      </c>
      <c r="AE31" s="63"/>
      <c r="AF31" s="63"/>
      <c r="AG31" s="63"/>
      <c r="AH31" s="63"/>
      <c r="AI31" s="63"/>
      <c r="AJ31" s="61" t="s">
        <v>18</v>
      </c>
    </row>
    <row r="32" spans="2:36">
      <c r="K32" s="26" t="s">
        <v>2</v>
      </c>
      <c r="L32" s="26" t="s">
        <v>0</v>
      </c>
      <c r="M32" s="30">
        <v>35</v>
      </c>
      <c r="N32" s="6"/>
      <c r="T32" s="22" t="s">
        <v>4</v>
      </c>
      <c r="U32" s="22" t="s">
        <v>0</v>
      </c>
      <c r="V32" s="23">
        <f>+VLOOKUP(V31,Data!$B$2:$D$50,2,FALSE)</f>
        <v>2754</v>
      </c>
      <c r="W32" s="20" t="str">
        <f>+VLOOKUP(V31,Data!$B$2:$E$50,4,FALSE)</f>
        <v>J</v>
      </c>
      <c r="X32" s="20"/>
      <c r="Y32" s="20"/>
      <c r="Z32" s="20"/>
      <c r="AA32" s="20"/>
      <c r="AB32" s="20"/>
      <c r="AD32" s="63" t="s">
        <v>11</v>
      </c>
      <c r="AE32" s="63"/>
      <c r="AF32" s="63"/>
      <c r="AG32" s="63"/>
      <c r="AH32" s="63"/>
      <c r="AI32" s="63"/>
      <c r="AJ32" s="61"/>
    </row>
    <row r="33" spans="2:36">
      <c r="M33" s="6"/>
      <c r="N33" s="6"/>
      <c r="Q33" s="86" t="str">
        <f>+Q3</f>
        <v>I/P by ETRTO</v>
      </c>
      <c r="T33" s="22" t="s">
        <v>5</v>
      </c>
      <c r="U33" s="22" t="s">
        <v>0</v>
      </c>
      <c r="V33" s="32">
        <v>50</v>
      </c>
      <c r="W33" s="36"/>
      <c r="X33" s="66" t="s">
        <v>57</v>
      </c>
      <c r="Y33" s="66"/>
      <c r="Z33" s="66"/>
      <c r="AA33" s="36"/>
      <c r="AB33" s="36"/>
      <c r="AD33" s="35" t="s">
        <v>12</v>
      </c>
      <c r="AE33" s="35" t="s">
        <v>13</v>
      </c>
      <c r="AF33" s="35" t="s">
        <v>14</v>
      </c>
      <c r="AG33" s="35" t="s">
        <v>15</v>
      </c>
      <c r="AH33" s="35" t="s">
        <v>16</v>
      </c>
      <c r="AI33" s="35" t="s">
        <v>17</v>
      </c>
      <c r="AJ33" s="61"/>
    </row>
    <row r="34" spans="2:36">
      <c r="K34" s="80" t="str">
        <f>+K4</f>
        <v>Load Distribution</v>
      </c>
      <c r="L34" s="81"/>
      <c r="M34" s="82"/>
      <c r="O34" s="21" t="str">
        <f>+O4</f>
        <v>Load/Tire</v>
      </c>
      <c r="Q34" s="87"/>
      <c r="T34" s="22" t="s">
        <v>8</v>
      </c>
      <c r="U34" s="22" t="s">
        <v>0</v>
      </c>
      <c r="V34" s="24">
        <f>+VLOOKUP(V31,Data!$B$2:$E$30,3,FALSE)</f>
        <v>112</v>
      </c>
      <c r="W34" s="37"/>
      <c r="X34" s="66"/>
      <c r="Y34" s="66"/>
      <c r="Z34" s="66"/>
      <c r="AA34" s="37"/>
      <c r="AB34" s="37"/>
      <c r="AC34" s="48">
        <v>0</v>
      </c>
      <c r="AD34" s="51">
        <f>+$V$32*Data!I2</f>
        <v>6885</v>
      </c>
      <c r="AE34" s="51">
        <f>+$V$32*Data!J2</f>
        <v>6885</v>
      </c>
      <c r="AF34" s="51">
        <f>+$V$32*Data!K2</f>
        <v>6885</v>
      </c>
      <c r="AG34" s="51">
        <f>+$V$32*Data!L2</f>
        <v>6885</v>
      </c>
      <c r="AH34" s="51">
        <f>+$V$32*Data!M2</f>
        <v>6885</v>
      </c>
      <c r="AI34" s="51">
        <f>+$V$32*Data!N2</f>
        <v>6885</v>
      </c>
      <c r="AJ34" s="43">
        <f>+$V$34*Data!O2</f>
        <v>156.79999999999998</v>
      </c>
    </row>
    <row r="35" spans="2:36" ht="12.75" thickBot="1">
      <c r="K35" s="1"/>
      <c r="Q35" s="5"/>
      <c r="T35" s="29" t="s">
        <v>54</v>
      </c>
      <c r="V35" s="57" t="s">
        <v>55</v>
      </c>
      <c r="W35" s="38"/>
      <c r="X35" s="20" t="s">
        <v>58</v>
      </c>
      <c r="Y35" s="20"/>
      <c r="Z35" s="55" t="s">
        <v>59</v>
      </c>
      <c r="AA35" s="38"/>
      <c r="AB35" s="38"/>
      <c r="AC35" s="49">
        <v>5</v>
      </c>
      <c r="AD35" s="52">
        <f>+$V$32*Data!I3</f>
        <v>5783.4000000000005</v>
      </c>
      <c r="AE35" s="52">
        <f>+$V$32*Data!J3</f>
        <v>5783.4000000000005</v>
      </c>
      <c r="AF35" s="52">
        <f>+$V$32*Data!K3</f>
        <v>5783.4000000000005</v>
      </c>
      <c r="AG35" s="52">
        <f>+$V$32*Data!L3</f>
        <v>5783.4000000000005</v>
      </c>
      <c r="AH35" s="52">
        <f>+$V$32*Data!M3</f>
        <v>5783.4000000000005</v>
      </c>
      <c r="AI35" s="52">
        <f>+$V$32*Data!N3</f>
        <v>5783.4000000000005</v>
      </c>
      <c r="AJ35" s="45">
        <f>+$V$34*Data!O3</f>
        <v>156.79999999999998</v>
      </c>
    </row>
    <row r="36" spans="2:36">
      <c r="D36" s="67"/>
      <c r="E36" s="7"/>
      <c r="F36" s="8"/>
      <c r="G36" s="67"/>
      <c r="H36" s="7"/>
      <c r="I36" s="9"/>
      <c r="J36" s="8"/>
      <c r="K36" s="88">
        <v>0.18</v>
      </c>
      <c r="L36" s="83" t="s">
        <v>0</v>
      </c>
      <c r="M36" s="69">
        <f>+K36*$M$32</f>
        <v>6.3</v>
      </c>
      <c r="N36" s="2"/>
      <c r="O36" s="73">
        <f>+M36/2*1000</f>
        <v>3150</v>
      </c>
      <c r="Q36" s="78">
        <f>+((O36/$V$32)^1.25)*$V$34</f>
        <v>132.4802975930719</v>
      </c>
      <c r="T36" s="75" t="str">
        <f>IF(Q36&gt;=$V$34*110%,"CONSULT TO BS","OK")</f>
        <v>CONSULT TO BS</v>
      </c>
      <c r="V36" s="75" t="str">
        <f>IF(O36&gt;=$V$32*115%,"Over Load","OK")</f>
        <v>OK</v>
      </c>
      <c r="X36" s="64">
        <f>IF(Q36&lt;=$V$34*110%,"OK",((Q36-$V$34)/$V$34))</f>
        <v>0.18285979993814191</v>
      </c>
      <c r="Y36" s="39"/>
      <c r="Z36" s="64" t="str">
        <f>IF(O36&lt;=$V$32*115%,"OK",((O36-$V$32)/$V$32))</f>
        <v>OK</v>
      </c>
      <c r="AC36" s="49">
        <v>10</v>
      </c>
      <c r="AD36" s="52">
        <f>+$V$32*Data!I4</f>
        <v>4957.2</v>
      </c>
      <c r="AE36" s="52">
        <f>+$V$32*Data!J4</f>
        <v>4957.2</v>
      </c>
      <c r="AF36" s="52">
        <f>+$V$32*Data!K4</f>
        <v>4957.2</v>
      </c>
      <c r="AG36" s="52">
        <f>+$V$32*Data!L4</f>
        <v>4957.2</v>
      </c>
      <c r="AH36" s="52">
        <f>+$V$32*Data!M4</f>
        <v>4957.2</v>
      </c>
      <c r="AI36" s="52">
        <f>+$V$32*Data!N4</f>
        <v>4957.2</v>
      </c>
      <c r="AJ36" s="45">
        <f>+$V$34*Data!O4</f>
        <v>145.6</v>
      </c>
    </row>
    <row r="37" spans="2:36" ht="12.75" thickBot="1">
      <c r="D37" s="68"/>
      <c r="F37" s="10"/>
      <c r="G37" s="68"/>
      <c r="H37" s="14"/>
      <c r="I37" s="14"/>
      <c r="K37" s="89"/>
      <c r="L37" s="83"/>
      <c r="M37" s="70"/>
      <c r="N37" s="2"/>
      <c r="O37" s="74"/>
      <c r="Q37" s="79"/>
      <c r="T37" s="76"/>
      <c r="V37" s="76"/>
      <c r="X37" s="65"/>
      <c r="Y37" s="39"/>
      <c r="Z37" s="65"/>
      <c r="AC37" s="49">
        <v>15</v>
      </c>
      <c r="AD37" s="52">
        <f>+$V$32*Data!I5</f>
        <v>4544.0999999999995</v>
      </c>
      <c r="AE37" s="52">
        <f>+$V$32*Data!J5</f>
        <v>4544.0999999999995</v>
      </c>
      <c r="AF37" s="52">
        <f>+$V$32*Data!K5</f>
        <v>4544.0999999999995</v>
      </c>
      <c r="AG37" s="52">
        <f>+$V$32*Data!L5</f>
        <v>4544.0999999999995</v>
      </c>
      <c r="AH37" s="52">
        <f>+$V$32*Data!M5</f>
        <v>4544.0999999999995</v>
      </c>
      <c r="AI37" s="52">
        <f>+$V$32*Data!N5</f>
        <v>4544.0999999999995</v>
      </c>
      <c r="AJ37" s="45">
        <f>+$V$34*Data!O5</f>
        <v>140</v>
      </c>
    </row>
    <row r="38" spans="2:36">
      <c r="F38" s="11"/>
      <c r="H38" s="14"/>
      <c r="I38" s="14"/>
      <c r="O38" s="12"/>
      <c r="V38" s="90"/>
      <c r="AC38" s="49">
        <v>20</v>
      </c>
      <c r="AD38" s="52">
        <f>+$V$32*Data!I6</f>
        <v>4131</v>
      </c>
      <c r="AE38" s="52">
        <f>+$V$32*Data!J6</f>
        <v>4131</v>
      </c>
      <c r="AF38" s="52">
        <f>+$V$32*Data!K6</f>
        <v>4131</v>
      </c>
      <c r="AG38" s="52">
        <f>+$V$32*Data!L6</f>
        <v>4131</v>
      </c>
      <c r="AH38" s="52">
        <f>+$V$32*Data!M6</f>
        <v>4131</v>
      </c>
      <c r="AI38" s="52">
        <f>+$V$32*Data!N6</f>
        <v>4131</v>
      </c>
      <c r="AJ38" s="45">
        <f>+$V$34*Data!O6</f>
        <v>135.51999999999998</v>
      </c>
    </row>
    <row r="39" spans="2:36" ht="12.75" thickBot="1">
      <c r="F39" s="11"/>
      <c r="O39" s="12"/>
      <c r="V39" s="91"/>
      <c r="AC39" s="49">
        <v>25</v>
      </c>
      <c r="AD39" s="52">
        <f>+$V$32*Data!I7</f>
        <v>3717.9</v>
      </c>
      <c r="AE39" s="52">
        <f>+$V$32*Data!J7</f>
        <v>3717.9</v>
      </c>
      <c r="AF39" s="52">
        <f>+$V$32*Data!K7</f>
        <v>3717.9</v>
      </c>
      <c r="AG39" s="52">
        <f>+$V$32*Data!L7</f>
        <v>3717.9</v>
      </c>
      <c r="AH39" s="52">
        <f>+$V$32*Data!M7</f>
        <v>3717.9</v>
      </c>
      <c r="AI39" s="52">
        <f>+$V$32*Data!N7</f>
        <v>3717.9</v>
      </c>
      <c r="AJ39" s="45">
        <f>+$V$34*Data!O7</f>
        <v>131.04</v>
      </c>
    </row>
    <row r="40" spans="2:36" ht="12" customHeight="1">
      <c r="B40" s="67"/>
      <c r="D40" s="67"/>
      <c r="E40" s="7"/>
      <c r="F40" s="13"/>
      <c r="G40" s="67"/>
      <c r="I40" s="67"/>
      <c r="J40" s="13"/>
      <c r="K40" s="88">
        <v>0.42</v>
      </c>
      <c r="L40" s="83" t="s">
        <v>0</v>
      </c>
      <c r="M40" s="69">
        <f>+K40*$M$32</f>
        <v>14.7</v>
      </c>
      <c r="N40" s="3"/>
      <c r="O40" s="73">
        <f>+M40/4*1000</f>
        <v>3675</v>
      </c>
      <c r="Q40" s="78">
        <f>+((O40/$V$32)^1.25)*$V$34</f>
        <v>160.63300431882882</v>
      </c>
      <c r="T40" s="75" t="str">
        <f>IF(Q40&gt;=$V$34*110%,"CONSULT TO BS","OK")</f>
        <v>CONSULT TO BS</v>
      </c>
      <c r="V40" s="92" t="str">
        <f>IF(O40&gt;=$V$32*115%,"Over Load","OK")</f>
        <v>Over Load</v>
      </c>
      <c r="X40" s="64">
        <f>IF(Q40&lt;=$V$34*110%,"OK",((Q40-$V$34)/$V$34))</f>
        <v>0.43422325284668595</v>
      </c>
      <c r="Y40" s="39"/>
      <c r="Z40" s="64">
        <f>IF(O40&lt;=$V$32*115%,"OK",((O40-$V$32)/$V$32))</f>
        <v>0.33442265795206971</v>
      </c>
      <c r="AC40" s="49">
        <v>30</v>
      </c>
      <c r="AD40" s="52">
        <f>+$V$32*Data!I8</f>
        <v>3442.5</v>
      </c>
      <c r="AE40" s="52">
        <f>+$V$32*Data!J8</f>
        <v>3442.5</v>
      </c>
      <c r="AF40" s="52">
        <f>+$V$32*Data!K8</f>
        <v>3442.5</v>
      </c>
      <c r="AG40" s="52">
        <f>+$V$32*Data!L8</f>
        <v>3442.5</v>
      </c>
      <c r="AH40" s="52">
        <f>+$V$32*Data!M8</f>
        <v>3442.5</v>
      </c>
      <c r="AI40" s="52">
        <f>+$V$32*Data!N8</f>
        <v>3442.5</v>
      </c>
      <c r="AJ40" s="45">
        <f>+$V$34*Data!O8</f>
        <v>126.55999999999999</v>
      </c>
    </row>
    <row r="41" spans="2:36" ht="12.75" thickBot="1">
      <c r="B41" s="68"/>
      <c r="D41" s="68"/>
      <c r="F41" s="11"/>
      <c r="G41" s="68"/>
      <c r="I41" s="68"/>
      <c r="K41" s="89"/>
      <c r="L41" s="83"/>
      <c r="M41" s="70"/>
      <c r="N41" s="3"/>
      <c r="O41" s="74"/>
      <c r="Q41" s="79"/>
      <c r="T41" s="76"/>
      <c r="V41" s="76"/>
      <c r="X41" s="65"/>
      <c r="Y41" s="39"/>
      <c r="Z41" s="65"/>
      <c r="AC41" s="49">
        <v>35</v>
      </c>
      <c r="AD41" s="52">
        <f>+$V$32*Data!I9</f>
        <v>3277.2599999999998</v>
      </c>
      <c r="AE41" s="52">
        <f>+$V$32*Data!J9</f>
        <v>3277.2599999999998</v>
      </c>
      <c r="AF41" s="52">
        <f>+$V$32*Data!K9</f>
        <v>3277.2599999999998</v>
      </c>
      <c r="AG41" s="52">
        <f>+$V$32*Data!L9</f>
        <v>3277.2599999999998</v>
      </c>
      <c r="AH41" s="52">
        <f>+$V$32*Data!M9</f>
        <v>3277.2599999999998</v>
      </c>
      <c r="AI41" s="52">
        <f>+$V$32*Data!N9</f>
        <v>3277.2599999999998</v>
      </c>
      <c r="AJ41" s="45">
        <f>+$V$34*Data!O9</f>
        <v>124.32000000000001</v>
      </c>
    </row>
    <row r="42" spans="2:36" ht="12.75" thickBot="1">
      <c r="F42" s="11"/>
      <c r="O42" s="12"/>
      <c r="V42" s="54"/>
      <c r="AC42" s="49">
        <v>40</v>
      </c>
      <c r="AD42" s="52">
        <f>+$V$32*Data!I10</f>
        <v>3167.1</v>
      </c>
      <c r="AE42" s="52">
        <f>+$V$32*Data!J10</f>
        <v>3167.1</v>
      </c>
      <c r="AF42" s="52">
        <f>+$V$32*Data!K10</f>
        <v>3167.1</v>
      </c>
      <c r="AG42" s="52">
        <f>+$V$32*Data!L10</f>
        <v>3167.1</v>
      </c>
      <c r="AH42" s="52">
        <f>+$V$32*Data!M10</f>
        <v>3167.1</v>
      </c>
      <c r="AI42" s="52">
        <f>+$V$32*Data!N10</f>
        <v>3167.1</v>
      </c>
      <c r="AJ42" s="45">
        <f>+$V$34*Data!O10</f>
        <v>123.20000000000002</v>
      </c>
    </row>
    <row r="43" spans="2:36">
      <c r="B43" s="67"/>
      <c r="D43" s="67"/>
      <c r="E43" s="7"/>
      <c r="F43" s="13"/>
      <c r="G43" s="67"/>
      <c r="I43" s="67"/>
      <c r="J43" s="13"/>
      <c r="K43" s="88">
        <v>0.4</v>
      </c>
      <c r="L43" s="83" t="s">
        <v>0</v>
      </c>
      <c r="M43" s="69">
        <f>+K43*$M$32</f>
        <v>14</v>
      </c>
      <c r="N43" s="2"/>
      <c r="O43" s="73">
        <f>+M43/4*1000</f>
        <v>3500</v>
      </c>
      <c r="Q43" s="78">
        <f>+((O43/$V$32)^1.25)*$V$34</f>
        <v>151.12912162731462</v>
      </c>
      <c r="T43" s="75" t="str">
        <f>IF(Q43&gt;=$V$34*110%,"CONSULT TO BS","OK")</f>
        <v>CONSULT TO BS</v>
      </c>
      <c r="V43" s="75" t="str">
        <f>IF(O43&gt;=$V$32*115%,"Over Load","OK")</f>
        <v>Over Load</v>
      </c>
      <c r="X43" s="64">
        <f>IF(Q43&lt;=$V$34*110%,"OK",((Q43-$V$34)/$V$34))</f>
        <v>0.34936715738673768</v>
      </c>
      <c r="Y43" s="39"/>
      <c r="Z43" s="64">
        <f>IF(O43&lt;=$V$32*115%,"OK",((O43-$V$32)/$V$32))</f>
        <v>0.27087872185911399</v>
      </c>
      <c r="AC43" s="49">
        <v>45</v>
      </c>
      <c r="AD43" s="52">
        <f>+$V$32*Data!I11</f>
        <v>3112.0199999999995</v>
      </c>
      <c r="AE43" s="52">
        <f>+$V$32*Data!J11</f>
        <v>3112.0199999999995</v>
      </c>
      <c r="AF43" s="52">
        <f>+$V$32*Data!K11</f>
        <v>3112.0199999999995</v>
      </c>
      <c r="AG43" s="52">
        <f>+$V$32*Data!L11</f>
        <v>3112.0199999999995</v>
      </c>
      <c r="AH43" s="52">
        <f>+$V$32*Data!M11</f>
        <v>3112.0199999999995</v>
      </c>
      <c r="AI43" s="52">
        <f>+$V$32*Data!N11</f>
        <v>3112.0199999999995</v>
      </c>
      <c r="AJ43" s="45">
        <f>+$V$34*Data!O11</f>
        <v>122.08000000000001</v>
      </c>
    </row>
    <row r="44" spans="2:36" ht="13.5" customHeight="1" thickBot="1">
      <c r="B44" s="68"/>
      <c r="D44" s="68"/>
      <c r="G44" s="68"/>
      <c r="I44" s="68"/>
      <c r="K44" s="89"/>
      <c r="L44" s="83"/>
      <c r="M44" s="70"/>
      <c r="N44" s="2"/>
      <c r="O44" s="74"/>
      <c r="Q44" s="79"/>
      <c r="T44" s="76"/>
      <c r="V44" s="76"/>
      <c r="X44" s="65"/>
      <c r="Y44" s="39"/>
      <c r="Z44" s="65"/>
      <c r="AC44" s="49">
        <v>50</v>
      </c>
      <c r="AD44" s="52">
        <f>+$V$32*Data!I12</f>
        <v>3084.4800000000005</v>
      </c>
      <c r="AE44" s="52">
        <f>+$V$32*Data!J12</f>
        <v>3084.4800000000005</v>
      </c>
      <c r="AF44" s="52">
        <f>+$V$32*Data!K12</f>
        <v>3084.4800000000005</v>
      </c>
      <c r="AG44" s="52">
        <f>+$V$32*Data!L12</f>
        <v>3084.4800000000005</v>
      </c>
      <c r="AH44" s="52">
        <f>+$V$32*Data!M12</f>
        <v>3084.4800000000005</v>
      </c>
      <c r="AI44" s="52">
        <f>+$V$32*Data!N12</f>
        <v>3084.4800000000005</v>
      </c>
      <c r="AJ44" s="45">
        <f>+$V$34*Data!O12</f>
        <v>120.96000000000001</v>
      </c>
    </row>
    <row r="45" spans="2:36">
      <c r="AC45" s="49">
        <v>55</v>
      </c>
      <c r="AD45" s="52">
        <f>+$V$32*Data!I13</f>
        <v>3056.94</v>
      </c>
      <c r="AE45" s="52">
        <f>+$V$32*Data!J13</f>
        <v>3056.94</v>
      </c>
      <c r="AF45" s="52">
        <f>+$V$32*Data!K13</f>
        <v>3056.94</v>
      </c>
      <c r="AG45" s="52">
        <f>+$V$32*Data!L13</f>
        <v>3056.94</v>
      </c>
      <c r="AH45" s="52">
        <f>+$V$32*Data!M13</f>
        <v>3056.94</v>
      </c>
      <c r="AI45" s="52">
        <f>+$V$32*Data!N13</f>
        <v>3056.94</v>
      </c>
      <c r="AJ45" s="45">
        <f>+$V$34*Data!O13</f>
        <v>119.84</v>
      </c>
    </row>
    <row r="46" spans="2:36">
      <c r="AC46" s="49">
        <v>60</v>
      </c>
      <c r="AD46" s="52">
        <f>+$V$32*Data!I14</f>
        <v>3029.4</v>
      </c>
      <c r="AE46" s="52">
        <f>+$V$32*Data!J14</f>
        <v>3029.4</v>
      </c>
      <c r="AF46" s="52">
        <f>+$V$32*Data!K14</f>
        <v>3029.4</v>
      </c>
      <c r="AG46" s="52">
        <f>+$V$32*Data!L14</f>
        <v>3029.4</v>
      </c>
      <c r="AH46" s="52">
        <f>+$V$32*Data!M14</f>
        <v>3029.4</v>
      </c>
      <c r="AI46" s="52">
        <f>+$V$32*Data!N14</f>
        <v>3029.4</v>
      </c>
      <c r="AJ46" s="45">
        <f>+$V$34*Data!O14</f>
        <v>118.72</v>
      </c>
    </row>
    <row r="47" spans="2:36">
      <c r="AC47" s="49">
        <v>65</v>
      </c>
      <c r="AD47" s="52">
        <f>+$V$32*Data!I15</f>
        <v>2960.5499999999997</v>
      </c>
      <c r="AE47" s="52">
        <f>+$V$32*Data!J15</f>
        <v>2988.0899999999997</v>
      </c>
      <c r="AF47" s="52">
        <f>+$V$32*Data!K15</f>
        <v>2988.0899999999997</v>
      </c>
      <c r="AG47" s="52">
        <f>+$V$32*Data!L15</f>
        <v>2988.0899999999997</v>
      </c>
      <c r="AH47" s="52">
        <f>+$V$32*Data!M15</f>
        <v>2988.0899999999997</v>
      </c>
      <c r="AI47" s="52">
        <f>+$V$32*Data!N15</f>
        <v>2988.0899999999997</v>
      </c>
      <c r="AJ47" s="45">
        <f>+$V$34*Data!O15</f>
        <v>116.48</v>
      </c>
    </row>
    <row r="48" spans="2:36">
      <c r="AC48" s="49">
        <v>70</v>
      </c>
      <c r="AD48" s="52">
        <f>+$V$32*Data!I16</f>
        <v>2891.7000000000003</v>
      </c>
      <c r="AE48" s="52">
        <f>+$V$32*Data!J16</f>
        <v>2946.78</v>
      </c>
      <c r="AF48" s="52">
        <f>+$V$32*Data!K16</f>
        <v>2946.78</v>
      </c>
      <c r="AG48" s="52">
        <f>+$V$32*Data!L16</f>
        <v>2946.78</v>
      </c>
      <c r="AH48" s="52">
        <f>+$V$32*Data!M16</f>
        <v>2946.78</v>
      </c>
      <c r="AI48" s="52">
        <f>+$V$32*Data!N16</f>
        <v>2946.78</v>
      </c>
      <c r="AJ48" s="45">
        <f>+$V$34*Data!O16</f>
        <v>114.24000000000001</v>
      </c>
    </row>
    <row r="49" spans="11:36">
      <c r="K49" s="33"/>
      <c r="L49" s="4" t="s">
        <v>0</v>
      </c>
      <c r="M49" s="4" t="s">
        <v>56</v>
      </c>
      <c r="AC49" s="49">
        <v>75</v>
      </c>
      <c r="AD49" s="52">
        <f>+$V$32*Data!I17</f>
        <v>2822.85</v>
      </c>
      <c r="AE49" s="52">
        <f>+$V$32*Data!J17</f>
        <v>2905.47</v>
      </c>
      <c r="AF49" s="52">
        <f>+$V$32*Data!K17</f>
        <v>2905.47</v>
      </c>
      <c r="AG49" s="52">
        <f>+$V$32*Data!L17</f>
        <v>2905.47</v>
      </c>
      <c r="AH49" s="52">
        <f>+$V$32*Data!M17</f>
        <v>2905.47</v>
      </c>
      <c r="AI49" s="52">
        <f>+$V$32*Data!N17</f>
        <v>2905.47</v>
      </c>
      <c r="AJ49" s="45">
        <f>+$V$34*Data!O17</f>
        <v>113.12</v>
      </c>
    </row>
    <row r="50" spans="11:36">
      <c r="AC50" s="49">
        <v>80</v>
      </c>
      <c r="AD50" s="52">
        <f>+$V$32*Data!I18</f>
        <v>2754</v>
      </c>
      <c r="AE50" s="52">
        <f>+$V$32*Data!J18</f>
        <v>2864.1600000000003</v>
      </c>
      <c r="AF50" s="52">
        <f>+$V$32*Data!K18</f>
        <v>2864.1600000000003</v>
      </c>
      <c r="AG50" s="52">
        <f>+$V$32*Data!L18</f>
        <v>2864.1600000000003</v>
      </c>
      <c r="AH50" s="52">
        <f>+$V$32*Data!M18</f>
        <v>2864.1600000000003</v>
      </c>
      <c r="AI50" s="52">
        <f>+$V$32*Data!N18</f>
        <v>2864.1600000000003</v>
      </c>
      <c r="AJ50" s="45">
        <f>+$V$34*Data!O18</f>
        <v>112</v>
      </c>
    </row>
    <row r="51" spans="11:36">
      <c r="AC51" s="49">
        <v>85</v>
      </c>
      <c r="AD51" s="52">
        <f>+$V$32*Data!I19</f>
        <v>0</v>
      </c>
      <c r="AE51" s="52">
        <f>+$V$32*Data!J19</f>
        <v>2809.08</v>
      </c>
      <c r="AF51" s="52">
        <f>+$V$32*Data!K19</f>
        <v>2836.62</v>
      </c>
      <c r="AG51" s="52">
        <f>+$V$32*Data!L19</f>
        <v>2836.62</v>
      </c>
      <c r="AH51" s="52">
        <f>+$V$32*Data!M19</f>
        <v>2836.62</v>
      </c>
      <c r="AI51" s="52">
        <f>+$V$32*Data!N19</f>
        <v>2836.62</v>
      </c>
      <c r="AJ51" s="45">
        <f>+$V$34*Data!O19</f>
        <v>112</v>
      </c>
    </row>
    <row r="52" spans="11:36">
      <c r="AC52" s="49">
        <v>90</v>
      </c>
      <c r="AD52" s="52">
        <f>+$V$32*Data!I20</f>
        <v>0</v>
      </c>
      <c r="AE52" s="52">
        <f>+$V$32*Data!J20</f>
        <v>2754</v>
      </c>
      <c r="AF52" s="52">
        <f>+$V$32*Data!K20</f>
        <v>2809.08</v>
      </c>
      <c r="AG52" s="52">
        <f>+$V$32*Data!L20</f>
        <v>2809.08</v>
      </c>
      <c r="AH52" s="52">
        <f>+$V$32*Data!M20</f>
        <v>2809.08</v>
      </c>
      <c r="AI52" s="52">
        <f>+$V$32*Data!N20</f>
        <v>2809.08</v>
      </c>
      <c r="AJ52" s="45">
        <f>+$V$34*Data!O20</f>
        <v>112</v>
      </c>
    </row>
    <row r="53" spans="11:36">
      <c r="AC53" s="49">
        <v>95</v>
      </c>
      <c r="AD53" s="52">
        <f>+$V$32*Data!I21</f>
        <v>0</v>
      </c>
      <c r="AE53" s="52">
        <f>+$V$32*Data!J21</f>
        <v>0</v>
      </c>
      <c r="AF53" s="52">
        <f>+$V$32*Data!K21</f>
        <v>2781.54</v>
      </c>
      <c r="AG53" s="52">
        <f>+$V$32*Data!L21</f>
        <v>2781.54</v>
      </c>
      <c r="AH53" s="52">
        <f>+$V$32*Data!M21</f>
        <v>2781.54</v>
      </c>
      <c r="AI53" s="52">
        <f>+$V$32*Data!N21</f>
        <v>2781.54</v>
      </c>
      <c r="AJ53" s="45">
        <f>+$V$34*Data!O21</f>
        <v>112</v>
      </c>
    </row>
    <row r="54" spans="11:36">
      <c r="AC54" s="49">
        <v>100</v>
      </c>
      <c r="AD54" s="52">
        <f>+$V$32*Data!I22</f>
        <v>0</v>
      </c>
      <c r="AE54" s="52">
        <f>+$V$32*Data!J22</f>
        <v>0</v>
      </c>
      <c r="AF54" s="52">
        <f>+$V$32*Data!K22</f>
        <v>2754</v>
      </c>
      <c r="AG54" s="52">
        <f>+$V$32*Data!L22</f>
        <v>2754</v>
      </c>
      <c r="AH54" s="52">
        <f>+$V$32*Data!M22</f>
        <v>2754</v>
      </c>
      <c r="AI54" s="52">
        <f>+$V$32*Data!N22</f>
        <v>2754</v>
      </c>
      <c r="AJ54" s="45">
        <f>+$V$34*Data!O22</f>
        <v>112</v>
      </c>
    </row>
    <row r="55" spans="11:36">
      <c r="AC55" s="49">
        <v>110</v>
      </c>
      <c r="AD55" s="52">
        <f>+$V$32*Data!I23</f>
        <v>0</v>
      </c>
      <c r="AE55" s="52">
        <f>+$V$32*Data!J23</f>
        <v>0</v>
      </c>
      <c r="AF55" s="52">
        <f>+$V$32*Data!K23</f>
        <v>0</v>
      </c>
      <c r="AG55" s="52">
        <f>+$V$32*Data!L23</f>
        <v>2754</v>
      </c>
      <c r="AH55" s="52">
        <f>+$V$32*Data!M23</f>
        <v>2754</v>
      </c>
      <c r="AI55" s="52">
        <f>+$V$32*Data!N23</f>
        <v>2754</v>
      </c>
      <c r="AJ55" s="45">
        <f>+$V$34*Data!O23</f>
        <v>112</v>
      </c>
    </row>
    <row r="56" spans="11:36">
      <c r="AC56" s="49">
        <v>120</v>
      </c>
      <c r="AD56" s="52">
        <f>+$V$32*Data!I24</f>
        <v>0</v>
      </c>
      <c r="AE56" s="52">
        <f>+$V$32*Data!J24</f>
        <v>0</v>
      </c>
      <c r="AF56" s="52">
        <f>+$V$32*Data!K24</f>
        <v>0</v>
      </c>
      <c r="AG56" s="52">
        <f>+$V$32*Data!L24</f>
        <v>0</v>
      </c>
      <c r="AH56" s="52">
        <f>+$V$32*Data!M24</f>
        <v>2754</v>
      </c>
      <c r="AI56" s="52">
        <f>+$V$32*Data!N24</f>
        <v>2754</v>
      </c>
      <c r="AJ56" s="45">
        <f>+$V$34*Data!O24</f>
        <v>112</v>
      </c>
    </row>
    <row r="57" spans="11:36">
      <c r="AC57" s="50">
        <v>130</v>
      </c>
      <c r="AD57" s="53">
        <f>+$V$32*Data!I25</f>
        <v>0</v>
      </c>
      <c r="AE57" s="53">
        <f>+$V$32*Data!J25</f>
        <v>0</v>
      </c>
      <c r="AF57" s="53">
        <f>+$V$32*Data!K25</f>
        <v>0</v>
      </c>
      <c r="AG57" s="53">
        <f>+$V$32*Data!L25</f>
        <v>0</v>
      </c>
      <c r="AH57" s="53">
        <f>+$V$32*Data!M25</f>
        <v>0</v>
      </c>
      <c r="AI57" s="53">
        <f>+$V$32*Data!N25</f>
        <v>2754</v>
      </c>
      <c r="AJ57" s="47">
        <f>+$V$34*Data!O25</f>
        <v>112</v>
      </c>
    </row>
  </sheetData>
  <mergeCells count="111">
    <mergeCell ref="T43:T44"/>
    <mergeCell ref="T40:T41"/>
    <mergeCell ref="T36:T37"/>
    <mergeCell ref="Z16:Z17"/>
    <mergeCell ref="X16:X17"/>
    <mergeCell ref="Z13:Z14"/>
    <mergeCell ref="X13:X14"/>
    <mergeCell ref="V38:V39"/>
    <mergeCell ref="V40:V41"/>
    <mergeCell ref="V43:V44"/>
    <mergeCell ref="T13:T14"/>
    <mergeCell ref="T16:T17"/>
    <mergeCell ref="T19:T20"/>
    <mergeCell ref="V13:V14"/>
    <mergeCell ref="X43:X44"/>
    <mergeCell ref="Z43:Z44"/>
    <mergeCell ref="X33:Z34"/>
    <mergeCell ref="X36:X37"/>
    <mergeCell ref="Z36:Z37"/>
    <mergeCell ref="X40:X41"/>
    <mergeCell ref="Z40:Z41"/>
    <mergeCell ref="Z19:Z20"/>
    <mergeCell ref="X19:X20"/>
    <mergeCell ref="I43:I44"/>
    <mergeCell ref="G43:G44"/>
    <mergeCell ref="D43:D44"/>
    <mergeCell ref="B43:B44"/>
    <mergeCell ref="Q33:Q34"/>
    <mergeCell ref="K34:M34"/>
    <mergeCell ref="K36:K37"/>
    <mergeCell ref="L36:L37"/>
    <mergeCell ref="M36:M37"/>
    <mergeCell ref="K40:K41"/>
    <mergeCell ref="L40:L41"/>
    <mergeCell ref="M40:M41"/>
    <mergeCell ref="O40:O41"/>
    <mergeCell ref="Q40:Q41"/>
    <mergeCell ref="K43:K44"/>
    <mergeCell ref="L43:L44"/>
    <mergeCell ref="M43:M44"/>
    <mergeCell ref="O43:O44"/>
    <mergeCell ref="Q43:Q44"/>
    <mergeCell ref="Q36:Q37"/>
    <mergeCell ref="T6:T7"/>
    <mergeCell ref="T9:T10"/>
    <mergeCell ref="I13:I14"/>
    <mergeCell ref="G13:G14"/>
    <mergeCell ref="B19:B20"/>
    <mergeCell ref="B16:B17"/>
    <mergeCell ref="D16:D17"/>
    <mergeCell ref="B40:B41"/>
    <mergeCell ref="D40:D41"/>
    <mergeCell ref="G40:G41"/>
    <mergeCell ref="G9:G10"/>
    <mergeCell ref="D9:D10"/>
    <mergeCell ref="G6:G7"/>
    <mergeCell ref="D6:D7"/>
    <mergeCell ref="D19:D20"/>
    <mergeCell ref="B13:B14"/>
    <mergeCell ref="D13:D14"/>
    <mergeCell ref="I19:I20"/>
    <mergeCell ref="O13:O14"/>
    <mergeCell ref="O9:O10"/>
    <mergeCell ref="O6:O7"/>
    <mergeCell ref="K19:K20"/>
    <mergeCell ref="K16:K17"/>
    <mergeCell ref="K13:K14"/>
    <mergeCell ref="Q3:Q4"/>
    <mergeCell ref="Q19:Q20"/>
    <mergeCell ref="Q16:Q17"/>
    <mergeCell ref="Q13:Q14"/>
    <mergeCell ref="Q9:Q10"/>
    <mergeCell ref="Q6:Q7"/>
    <mergeCell ref="K4:M4"/>
    <mergeCell ref="L19:L20"/>
    <mergeCell ref="L16:L17"/>
    <mergeCell ref="L13:L14"/>
    <mergeCell ref="L9:L10"/>
    <mergeCell ref="L6:L7"/>
    <mergeCell ref="M13:M14"/>
    <mergeCell ref="M9:M10"/>
    <mergeCell ref="M6:M7"/>
    <mergeCell ref="O16:O17"/>
    <mergeCell ref="K9:K10"/>
    <mergeCell ref="K6:K7"/>
    <mergeCell ref="AJ31:AJ33"/>
    <mergeCell ref="I40:I41"/>
    <mergeCell ref="D36:D37"/>
    <mergeCell ref="G36:G37"/>
    <mergeCell ref="V19:V20"/>
    <mergeCell ref="M19:M20"/>
    <mergeCell ref="M16:M17"/>
    <mergeCell ref="O36:O37"/>
    <mergeCell ref="O19:O20"/>
    <mergeCell ref="AD31:AI31"/>
    <mergeCell ref="AD32:AI32"/>
    <mergeCell ref="V36:V37"/>
    <mergeCell ref="V16:V17"/>
    <mergeCell ref="G19:G20"/>
    <mergeCell ref="I16:I17"/>
    <mergeCell ref="G16:G17"/>
    <mergeCell ref="V9:V10"/>
    <mergeCell ref="V6:V7"/>
    <mergeCell ref="AJ1:AJ3"/>
    <mergeCell ref="AD1:AI1"/>
    <mergeCell ref="AD2:AI2"/>
    <mergeCell ref="Z9:Z10"/>
    <mergeCell ref="X9:X10"/>
    <mergeCell ref="Z6:Z7"/>
    <mergeCell ref="X6:X7"/>
    <mergeCell ref="X3:Z4"/>
  </mergeCells>
  <phoneticPr fontId="2" type="noConversion"/>
  <conditionalFormatting sqref="AD3">
    <cfRule type="cellIs" dxfId="15" priority="39" stopIfTrue="1" operator="equal">
      <formula>#REF!</formula>
    </cfRule>
  </conditionalFormatting>
  <conditionalFormatting sqref="Y5 W32:AB32 W2 AA2:AB2">
    <cfRule type="notContainsBlanks" dxfId="14" priority="34" stopIfTrue="1">
      <formula>LEN(TRIM(W2))&gt;0</formula>
    </cfRule>
  </conditionalFormatting>
  <conditionalFormatting sqref="AC4:AC27">
    <cfRule type="cellIs" dxfId="13" priority="33" stopIfTrue="1" operator="equal">
      <formula>$V$3</formula>
    </cfRule>
  </conditionalFormatting>
  <conditionalFormatting sqref="AC34:AC57">
    <cfRule type="cellIs" dxfId="12" priority="25" stopIfTrue="1" operator="equal">
      <formula>$V$33</formula>
    </cfRule>
  </conditionalFormatting>
  <conditionalFormatting sqref="T36:T37 T6:T7 V36:V37 V40:V41 V43:V44 T9:T10 T13:T14 T16:T17 T19:T20 T40:T41 T43:T44">
    <cfRule type="containsText" dxfId="11" priority="22" stopIfTrue="1" operator="containsText" text="consult to bs">
      <formula>NOT(ISERROR(SEARCH("consult to bs",T6)))</formula>
    </cfRule>
    <cfRule type="containsText" dxfId="10" priority="23" stopIfTrue="1" operator="containsText" text="OK">
      <formula>NOT(ISERROR(SEARCH("OK",T6)))</formula>
    </cfRule>
  </conditionalFormatting>
  <conditionalFormatting sqref="V36:V44 V6:AB7 V9:AB10 V13:AB14 V16:AB17 V19:AB20">
    <cfRule type="containsText" dxfId="9" priority="14" stopIfTrue="1" operator="containsText" text="over load">
      <formula>NOT(ISERROR(SEARCH("over load",V6)))</formula>
    </cfRule>
    <cfRule type="containsText" dxfId="8" priority="15" stopIfTrue="1" operator="containsText" text="ok">
      <formula>NOT(ISERROR(SEARCH("ok",V6)))</formula>
    </cfRule>
  </conditionalFormatting>
  <conditionalFormatting sqref="AF3">
    <cfRule type="cellIs" dxfId="7" priority="42" stopIfTrue="1" operator="equal">
      <formula>$W$2</formula>
    </cfRule>
  </conditionalFormatting>
  <conditionalFormatting sqref="AD3:AI3">
    <cfRule type="cellIs" dxfId="6" priority="44" stopIfTrue="1" operator="equal">
      <formula>$W$2</formula>
    </cfRule>
    <cfRule type="cellIs" dxfId="5" priority="45" stopIfTrue="1" operator="equal">
      <formula>#REF!</formula>
    </cfRule>
  </conditionalFormatting>
  <conditionalFormatting sqref="AD33:AI33">
    <cfRule type="cellIs" dxfId="4" priority="49" stopIfTrue="1" operator="equal">
      <formula>$W$32</formula>
    </cfRule>
    <cfRule type="cellIs" dxfId="3" priority="50" stopIfTrue="1" operator="equal">
      <formula>$W$32</formula>
    </cfRule>
  </conditionalFormatting>
  <conditionalFormatting sqref="Y35">
    <cfRule type="notContainsBlanks" dxfId="2" priority="3" stopIfTrue="1">
      <formula>LEN(TRIM(Y35))&gt;0</formula>
    </cfRule>
  </conditionalFormatting>
  <conditionalFormatting sqref="X36:Z37 X40:Z41 X43:Z44">
    <cfRule type="containsText" dxfId="1" priority="1" stopIfTrue="1" operator="containsText" text="over load">
      <formula>NOT(ISERROR(SEARCH("over load",X36)))</formula>
    </cfRule>
    <cfRule type="containsText" dxfId="0" priority="2" stopIfTrue="1" operator="containsText" text="ok">
      <formula>NOT(ISERROR(SEARCH("ok",X36)))</formula>
    </cfRule>
  </conditionalFormatting>
  <pageMargins left="0.75" right="0.75" top="1" bottom="1" header="0.5" footer="0.5"/>
  <pageSetup paperSize="9" orientation="portrait" horizontalDpi="4294967294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0"/>
  <sheetViews>
    <sheetView topLeftCell="A10" zoomScale="130" zoomScaleNormal="130" workbookViewId="0">
      <selection activeCell="E28" sqref="E28"/>
    </sheetView>
  </sheetViews>
  <sheetFormatPr defaultRowHeight="12"/>
  <cols>
    <col min="1" max="1" width="4" style="4" bestFit="1" customWidth="1"/>
    <col min="2" max="2" width="19.5703125" style="4" bestFit="1" customWidth="1"/>
    <col min="3" max="3" width="12.42578125" style="4" bestFit="1" customWidth="1"/>
    <col min="4" max="4" width="9" style="4" bestFit="1" customWidth="1"/>
    <col min="5" max="5" width="9.140625" style="15"/>
    <col min="6" max="7" width="9.140625" style="4"/>
    <col min="8" max="8" width="6.5703125" style="4" bestFit="1" customWidth="1"/>
    <col min="9" max="14" width="7.85546875" style="4" bestFit="1" customWidth="1"/>
    <col min="15" max="15" width="6.7109375" style="4" bestFit="1" customWidth="1"/>
    <col min="16" max="16384" width="9.140625" style="4"/>
  </cols>
  <sheetData>
    <row r="1" spans="1:15" ht="24">
      <c r="A1" s="4" t="s">
        <v>9</v>
      </c>
      <c r="B1" s="4" t="s">
        <v>6</v>
      </c>
      <c r="C1" s="4" t="s">
        <v>7</v>
      </c>
      <c r="D1" s="4" t="s">
        <v>8</v>
      </c>
      <c r="E1" s="5" t="s">
        <v>52</v>
      </c>
      <c r="H1" s="15" t="s">
        <v>19</v>
      </c>
      <c r="I1" s="15" t="s">
        <v>12</v>
      </c>
      <c r="J1" s="15" t="s">
        <v>13</v>
      </c>
      <c r="K1" s="15" t="s">
        <v>14</v>
      </c>
      <c r="L1" s="15" t="s">
        <v>15</v>
      </c>
      <c r="M1" s="15" t="s">
        <v>16</v>
      </c>
      <c r="N1" s="15" t="s">
        <v>17</v>
      </c>
      <c r="O1" s="15" t="s">
        <v>20</v>
      </c>
    </row>
    <row r="2" spans="1:15">
      <c r="A2" s="4">
        <v>1</v>
      </c>
      <c r="B2" s="4" t="s">
        <v>23</v>
      </c>
      <c r="C2" s="16">
        <v>2575</v>
      </c>
      <c r="D2" s="17">
        <v>110</v>
      </c>
      <c r="E2" s="15" t="s">
        <v>14</v>
      </c>
      <c r="H2" s="4">
        <v>0</v>
      </c>
      <c r="I2" s="18">
        <v>2.5</v>
      </c>
      <c r="J2" s="18">
        <v>2.5</v>
      </c>
      <c r="K2" s="18">
        <v>2.5</v>
      </c>
      <c r="L2" s="18">
        <v>2.5</v>
      </c>
      <c r="M2" s="18">
        <v>2.5</v>
      </c>
      <c r="N2" s="18">
        <v>2.5</v>
      </c>
      <c r="O2" s="18">
        <v>1.4</v>
      </c>
    </row>
    <row r="3" spans="1:15">
      <c r="B3" s="4" t="s">
        <v>24</v>
      </c>
      <c r="C3" s="16">
        <v>3000</v>
      </c>
      <c r="D3" s="17">
        <v>115</v>
      </c>
      <c r="E3" s="15" t="s">
        <v>14</v>
      </c>
      <c r="H3" s="4">
        <v>5</v>
      </c>
      <c r="I3" s="18">
        <v>2.1</v>
      </c>
      <c r="J3" s="18">
        <v>2.1</v>
      </c>
      <c r="K3" s="18">
        <v>2.1</v>
      </c>
      <c r="L3" s="18">
        <v>2.1</v>
      </c>
      <c r="M3" s="18">
        <v>2.1</v>
      </c>
      <c r="N3" s="18">
        <v>2.1</v>
      </c>
      <c r="O3" s="18">
        <v>1.4</v>
      </c>
    </row>
    <row r="4" spans="1:15">
      <c r="B4" s="4" t="s">
        <v>25</v>
      </c>
      <c r="C4" s="16">
        <v>2754</v>
      </c>
      <c r="D4" s="17">
        <v>112</v>
      </c>
      <c r="E4" s="15" t="s">
        <v>14</v>
      </c>
      <c r="H4" s="4">
        <v>10</v>
      </c>
      <c r="I4" s="18">
        <v>1.8</v>
      </c>
      <c r="J4" s="18">
        <v>1.8</v>
      </c>
      <c r="K4" s="18">
        <v>1.8</v>
      </c>
      <c r="L4" s="18">
        <v>1.8</v>
      </c>
      <c r="M4" s="18">
        <v>1.8</v>
      </c>
      <c r="N4" s="18">
        <v>1.8</v>
      </c>
      <c r="O4" s="18">
        <v>1.3</v>
      </c>
    </row>
    <row r="5" spans="1:15">
      <c r="B5" s="4" t="s">
        <v>26</v>
      </c>
      <c r="C5" s="16">
        <v>2700</v>
      </c>
      <c r="D5" s="17">
        <v>110</v>
      </c>
      <c r="E5" s="15" t="s">
        <v>14</v>
      </c>
      <c r="H5" s="4">
        <v>15</v>
      </c>
      <c r="I5" s="18">
        <v>1.65</v>
      </c>
      <c r="J5" s="18">
        <v>1.65</v>
      </c>
      <c r="K5" s="18">
        <v>1.65</v>
      </c>
      <c r="L5" s="18">
        <v>1.65</v>
      </c>
      <c r="M5" s="18">
        <v>1.65</v>
      </c>
      <c r="N5" s="18">
        <v>1.65</v>
      </c>
      <c r="O5" s="18">
        <v>1.25</v>
      </c>
    </row>
    <row r="6" spans="1:15">
      <c r="B6" s="4" t="s">
        <v>48</v>
      </c>
      <c r="C6" s="16">
        <v>3000</v>
      </c>
      <c r="D6" s="17">
        <v>115</v>
      </c>
      <c r="E6" s="15" t="s">
        <v>14</v>
      </c>
      <c r="H6" s="4">
        <v>20</v>
      </c>
      <c r="I6" s="18">
        <v>1.5</v>
      </c>
      <c r="J6" s="18">
        <v>1.5</v>
      </c>
      <c r="K6" s="18">
        <v>1.5</v>
      </c>
      <c r="L6" s="18">
        <v>1.5</v>
      </c>
      <c r="M6" s="18">
        <v>1.5</v>
      </c>
      <c r="N6" s="18">
        <v>1.5</v>
      </c>
      <c r="O6" s="18">
        <v>1.21</v>
      </c>
    </row>
    <row r="7" spans="1:15">
      <c r="B7" s="4" t="s">
        <v>27</v>
      </c>
      <c r="C7" s="16">
        <v>3350</v>
      </c>
      <c r="D7" s="17">
        <v>115</v>
      </c>
      <c r="E7" s="15" t="s">
        <v>14</v>
      </c>
      <c r="H7" s="4">
        <v>25</v>
      </c>
      <c r="I7" s="18">
        <v>1.35</v>
      </c>
      <c r="J7" s="18">
        <v>1.35</v>
      </c>
      <c r="K7" s="18">
        <v>1.35</v>
      </c>
      <c r="L7" s="18">
        <v>1.35</v>
      </c>
      <c r="M7" s="18">
        <v>1.35</v>
      </c>
      <c r="N7" s="18">
        <v>1.35</v>
      </c>
      <c r="O7" s="18">
        <v>1.17</v>
      </c>
    </row>
    <row r="8" spans="1:15">
      <c r="B8" s="4" t="s">
        <v>28</v>
      </c>
      <c r="C8" s="16">
        <v>2950</v>
      </c>
      <c r="D8" s="17">
        <v>110</v>
      </c>
      <c r="E8" s="15" t="s">
        <v>14</v>
      </c>
      <c r="H8" s="4">
        <v>30</v>
      </c>
      <c r="I8" s="18">
        <v>1.25</v>
      </c>
      <c r="J8" s="18">
        <v>1.25</v>
      </c>
      <c r="K8" s="18">
        <v>1.25</v>
      </c>
      <c r="L8" s="18">
        <v>1.25</v>
      </c>
      <c r="M8" s="18">
        <v>1.25</v>
      </c>
      <c r="N8" s="18">
        <v>1.25</v>
      </c>
      <c r="O8" s="18">
        <v>1.1299999999999999</v>
      </c>
    </row>
    <row r="9" spans="1:15">
      <c r="B9" s="4" t="s">
        <v>49</v>
      </c>
      <c r="C9" s="16">
        <v>3000</v>
      </c>
      <c r="D9" s="17">
        <v>112</v>
      </c>
      <c r="E9" s="15" t="s">
        <v>14</v>
      </c>
      <c r="H9" s="4">
        <v>35</v>
      </c>
      <c r="I9" s="18">
        <v>1.19</v>
      </c>
      <c r="J9" s="18">
        <v>1.19</v>
      </c>
      <c r="K9" s="18">
        <v>1.19</v>
      </c>
      <c r="L9" s="18">
        <v>1.19</v>
      </c>
      <c r="M9" s="18">
        <v>1.19</v>
      </c>
      <c r="N9" s="18">
        <v>1.19</v>
      </c>
      <c r="O9" s="18">
        <v>1.1100000000000001</v>
      </c>
    </row>
    <row r="10" spans="1:15">
      <c r="B10" s="4" t="s">
        <v>29</v>
      </c>
      <c r="C10" s="16">
        <v>2950</v>
      </c>
      <c r="D10" s="17">
        <v>112</v>
      </c>
      <c r="E10" s="15" t="s">
        <v>14</v>
      </c>
      <c r="H10" s="4">
        <v>40</v>
      </c>
      <c r="I10" s="18">
        <v>1.1499999999999999</v>
      </c>
      <c r="J10" s="18">
        <v>1.1499999999999999</v>
      </c>
      <c r="K10" s="18">
        <v>1.1499999999999999</v>
      </c>
      <c r="L10" s="18">
        <v>1.1499999999999999</v>
      </c>
      <c r="M10" s="18">
        <v>1.1499999999999999</v>
      </c>
      <c r="N10" s="18">
        <v>1.1499999999999999</v>
      </c>
      <c r="O10" s="18">
        <v>1.1000000000000001</v>
      </c>
    </row>
    <row r="11" spans="1:15">
      <c r="B11" s="4" t="s">
        <v>30</v>
      </c>
      <c r="C11" s="16">
        <v>3000</v>
      </c>
      <c r="D11" s="17">
        <v>116</v>
      </c>
      <c r="E11" s="15" t="s">
        <v>15</v>
      </c>
      <c r="H11" s="4">
        <v>45</v>
      </c>
      <c r="I11" s="18">
        <v>1.1299999999999999</v>
      </c>
      <c r="J11" s="18">
        <v>1.1299999999999999</v>
      </c>
      <c r="K11" s="18">
        <v>1.1299999999999999</v>
      </c>
      <c r="L11" s="18">
        <v>1.1299999999999999</v>
      </c>
      <c r="M11" s="18">
        <v>1.1299999999999999</v>
      </c>
      <c r="N11" s="18">
        <v>1.1299999999999999</v>
      </c>
      <c r="O11" s="18">
        <v>1.0900000000000001</v>
      </c>
    </row>
    <row r="12" spans="1:15">
      <c r="B12" s="4" t="s">
        <v>31</v>
      </c>
      <c r="C12" s="16">
        <v>3075</v>
      </c>
      <c r="D12" s="17">
        <v>116</v>
      </c>
      <c r="E12" s="15" t="s">
        <v>15</v>
      </c>
      <c r="H12" s="4">
        <v>50</v>
      </c>
      <c r="I12" s="18">
        <v>1.1200000000000001</v>
      </c>
      <c r="J12" s="18">
        <v>1.1200000000000001</v>
      </c>
      <c r="K12" s="18">
        <v>1.1200000000000001</v>
      </c>
      <c r="L12" s="18">
        <v>1.1200000000000001</v>
      </c>
      <c r="M12" s="18">
        <v>1.1200000000000001</v>
      </c>
      <c r="N12" s="18">
        <v>1.1200000000000001</v>
      </c>
      <c r="O12" s="18">
        <v>1.08</v>
      </c>
    </row>
    <row r="13" spans="1:15">
      <c r="B13" s="4" t="s">
        <v>32</v>
      </c>
      <c r="C13" s="16">
        <v>3075</v>
      </c>
      <c r="D13" s="17">
        <v>116</v>
      </c>
      <c r="E13" s="15" t="s">
        <v>15</v>
      </c>
      <c r="H13" s="4">
        <v>55</v>
      </c>
      <c r="I13" s="18">
        <v>1.1100000000000001</v>
      </c>
      <c r="J13" s="18">
        <v>1.1100000000000001</v>
      </c>
      <c r="K13" s="18">
        <v>1.1100000000000001</v>
      </c>
      <c r="L13" s="18">
        <v>1.1100000000000001</v>
      </c>
      <c r="M13" s="18">
        <v>1.1100000000000001</v>
      </c>
      <c r="N13" s="18">
        <v>1.1100000000000001</v>
      </c>
      <c r="O13" s="18">
        <v>1.07</v>
      </c>
    </row>
    <row r="14" spans="1:15">
      <c r="B14" s="4" t="s">
        <v>33</v>
      </c>
      <c r="C14" s="16">
        <v>3075</v>
      </c>
      <c r="D14" s="17">
        <v>116</v>
      </c>
      <c r="E14" s="15" t="s">
        <v>13</v>
      </c>
      <c r="H14" s="4">
        <v>60</v>
      </c>
      <c r="I14" s="18">
        <v>1.1000000000000001</v>
      </c>
      <c r="J14" s="18">
        <v>1.1000000000000001</v>
      </c>
      <c r="K14" s="18">
        <v>1.1000000000000001</v>
      </c>
      <c r="L14" s="18">
        <v>1.1000000000000001</v>
      </c>
      <c r="M14" s="18">
        <v>1.1000000000000001</v>
      </c>
      <c r="N14" s="18">
        <v>1.1000000000000001</v>
      </c>
      <c r="O14" s="18">
        <v>1.06</v>
      </c>
    </row>
    <row r="15" spans="1:15">
      <c r="B15" s="4" t="s">
        <v>51</v>
      </c>
      <c r="C15" s="16">
        <v>3350</v>
      </c>
      <c r="D15" s="17">
        <v>116</v>
      </c>
      <c r="E15" s="15" t="s">
        <v>13</v>
      </c>
      <c r="H15" s="4">
        <v>65</v>
      </c>
      <c r="I15" s="19">
        <v>1.075</v>
      </c>
      <c r="J15" s="19">
        <v>1.085</v>
      </c>
      <c r="K15" s="19">
        <v>1.085</v>
      </c>
      <c r="L15" s="19">
        <v>1.085</v>
      </c>
      <c r="M15" s="19">
        <v>1.085</v>
      </c>
      <c r="N15" s="19">
        <v>1.085</v>
      </c>
      <c r="O15" s="18">
        <v>1.04</v>
      </c>
    </row>
    <row r="16" spans="1:15">
      <c r="B16" s="4" t="s">
        <v>34</v>
      </c>
      <c r="C16" s="16">
        <v>3350</v>
      </c>
      <c r="D16" s="17">
        <v>120</v>
      </c>
      <c r="E16" s="15" t="s">
        <v>15</v>
      </c>
      <c r="H16" s="4">
        <v>70</v>
      </c>
      <c r="I16" s="18">
        <v>1.05</v>
      </c>
      <c r="J16" s="18">
        <v>1.07</v>
      </c>
      <c r="K16" s="18">
        <v>1.07</v>
      </c>
      <c r="L16" s="18">
        <v>1.07</v>
      </c>
      <c r="M16" s="18">
        <v>1.07</v>
      </c>
      <c r="N16" s="18">
        <v>1.07</v>
      </c>
      <c r="O16" s="18">
        <v>1.02</v>
      </c>
    </row>
    <row r="17" spans="2:15">
      <c r="B17" s="4" t="s">
        <v>35</v>
      </c>
      <c r="C17" s="16">
        <v>3350</v>
      </c>
      <c r="D17" s="17">
        <v>121</v>
      </c>
      <c r="E17" s="15" t="s">
        <v>15</v>
      </c>
      <c r="H17" s="4">
        <v>75</v>
      </c>
      <c r="I17" s="19">
        <v>1.0249999999999999</v>
      </c>
      <c r="J17" s="19">
        <v>1.0549999999999999</v>
      </c>
      <c r="K17" s="19">
        <v>1.0549999999999999</v>
      </c>
      <c r="L17" s="19">
        <v>1.0549999999999999</v>
      </c>
      <c r="M17" s="19">
        <v>1.0549999999999999</v>
      </c>
      <c r="N17" s="19">
        <v>1.0549999999999999</v>
      </c>
      <c r="O17" s="18">
        <v>1.01</v>
      </c>
    </row>
    <row r="18" spans="2:15">
      <c r="B18" s="4" t="s">
        <v>36</v>
      </c>
      <c r="C18" s="16">
        <v>3350</v>
      </c>
      <c r="D18" s="17">
        <v>121</v>
      </c>
      <c r="E18" s="15" t="s">
        <v>13</v>
      </c>
      <c r="H18" s="4">
        <v>80</v>
      </c>
      <c r="I18" s="18">
        <v>1</v>
      </c>
      <c r="J18" s="18">
        <v>1.04</v>
      </c>
      <c r="K18" s="18">
        <v>1.04</v>
      </c>
      <c r="L18" s="18">
        <v>1.04</v>
      </c>
      <c r="M18" s="18">
        <v>1.04</v>
      </c>
      <c r="N18" s="18">
        <v>1.04</v>
      </c>
      <c r="O18" s="18">
        <v>1</v>
      </c>
    </row>
    <row r="19" spans="2:15">
      <c r="B19" s="4" t="s">
        <v>37</v>
      </c>
      <c r="C19" s="16">
        <v>3550</v>
      </c>
      <c r="D19" s="17">
        <v>120</v>
      </c>
      <c r="E19" s="15" t="s">
        <v>13</v>
      </c>
      <c r="H19" s="4">
        <v>85</v>
      </c>
      <c r="I19" s="18"/>
      <c r="J19" s="18">
        <v>1.02</v>
      </c>
      <c r="K19" s="18">
        <v>1.03</v>
      </c>
      <c r="L19" s="18">
        <v>1.03</v>
      </c>
      <c r="M19" s="18">
        <v>1.03</v>
      </c>
      <c r="N19" s="18">
        <v>1.03</v>
      </c>
      <c r="O19" s="18">
        <v>1</v>
      </c>
    </row>
    <row r="20" spans="2:15">
      <c r="B20" s="4" t="s">
        <v>38</v>
      </c>
      <c r="C20" s="16">
        <v>3150</v>
      </c>
      <c r="D20" s="17">
        <v>123</v>
      </c>
      <c r="E20" s="28" t="s">
        <v>16</v>
      </c>
      <c r="H20" s="4">
        <v>90</v>
      </c>
      <c r="I20" s="18"/>
      <c r="J20" s="18">
        <v>1</v>
      </c>
      <c r="K20" s="18">
        <v>1.02</v>
      </c>
      <c r="L20" s="18">
        <v>1.02</v>
      </c>
      <c r="M20" s="18">
        <v>1.02</v>
      </c>
      <c r="N20" s="18">
        <v>1.02</v>
      </c>
      <c r="O20" s="18">
        <v>1</v>
      </c>
    </row>
    <row r="21" spans="2:15">
      <c r="B21" s="4" t="s">
        <v>39</v>
      </c>
      <c r="C21" s="16">
        <v>3150</v>
      </c>
      <c r="D21" s="17">
        <v>123</v>
      </c>
      <c r="E21" s="15" t="s">
        <v>16</v>
      </c>
      <c r="H21" s="4">
        <v>95</v>
      </c>
      <c r="I21" s="18"/>
      <c r="J21" s="18"/>
      <c r="K21" s="18">
        <v>1.01</v>
      </c>
      <c r="L21" s="18">
        <v>1.01</v>
      </c>
      <c r="M21" s="18">
        <v>1.01</v>
      </c>
      <c r="N21" s="18">
        <v>1.01</v>
      </c>
      <c r="O21" s="18">
        <v>1</v>
      </c>
    </row>
    <row r="22" spans="2:15">
      <c r="B22" s="4" t="s">
        <v>40</v>
      </c>
      <c r="C22" s="16">
        <v>3150</v>
      </c>
      <c r="D22" s="17">
        <v>123</v>
      </c>
      <c r="E22" s="15" t="s">
        <v>16</v>
      </c>
      <c r="H22" s="4">
        <v>100</v>
      </c>
      <c r="I22" s="18"/>
      <c r="J22" s="18"/>
      <c r="K22" s="18">
        <v>1</v>
      </c>
      <c r="L22" s="18">
        <v>1</v>
      </c>
      <c r="M22" s="18">
        <v>1</v>
      </c>
      <c r="N22" s="18">
        <v>1</v>
      </c>
      <c r="O22" s="18">
        <v>1</v>
      </c>
    </row>
    <row r="23" spans="2:15">
      <c r="B23" s="4" t="s">
        <v>41</v>
      </c>
      <c r="C23" s="16">
        <v>3150</v>
      </c>
      <c r="D23" s="17">
        <v>123</v>
      </c>
      <c r="E23" s="15" t="s">
        <v>16</v>
      </c>
      <c r="H23" s="4">
        <v>110</v>
      </c>
      <c r="I23" s="18"/>
      <c r="J23" s="18"/>
      <c r="K23" s="18"/>
      <c r="L23" s="18">
        <v>1</v>
      </c>
      <c r="M23" s="18">
        <v>1</v>
      </c>
      <c r="N23" s="18">
        <v>1</v>
      </c>
      <c r="O23" s="18">
        <v>1</v>
      </c>
    </row>
    <row r="24" spans="2:15">
      <c r="B24" s="4" t="s">
        <v>42</v>
      </c>
      <c r="C24" s="16">
        <v>3150</v>
      </c>
      <c r="D24" s="17">
        <v>124</v>
      </c>
      <c r="E24" s="15" t="s">
        <v>16</v>
      </c>
      <c r="H24" s="4">
        <v>120</v>
      </c>
      <c r="I24" s="18"/>
      <c r="J24" s="18"/>
      <c r="K24" s="18"/>
      <c r="L24" s="18"/>
      <c r="M24" s="18">
        <v>1</v>
      </c>
      <c r="N24" s="18">
        <v>1</v>
      </c>
      <c r="O24" s="18">
        <v>1</v>
      </c>
    </row>
    <row r="25" spans="2:15">
      <c r="B25" s="4" t="s">
        <v>43</v>
      </c>
      <c r="C25" s="16">
        <v>3150</v>
      </c>
      <c r="D25" s="17">
        <v>124</v>
      </c>
      <c r="E25" s="15" t="s">
        <v>13</v>
      </c>
      <c r="H25" s="4">
        <v>130</v>
      </c>
      <c r="I25" s="18"/>
      <c r="J25" s="18"/>
      <c r="K25" s="18"/>
      <c r="L25" s="18"/>
      <c r="M25" s="18"/>
      <c r="N25" s="18">
        <v>1</v>
      </c>
      <c r="O25" s="18">
        <v>1</v>
      </c>
    </row>
    <row r="26" spans="2:15">
      <c r="B26" s="4" t="s">
        <v>44</v>
      </c>
      <c r="C26" s="16">
        <v>3150</v>
      </c>
      <c r="D26" s="17">
        <v>123</v>
      </c>
      <c r="E26" s="15" t="s">
        <v>13</v>
      </c>
    </row>
    <row r="27" spans="2:15">
      <c r="B27" s="4" t="s">
        <v>45</v>
      </c>
      <c r="C27" s="16">
        <v>4000</v>
      </c>
      <c r="D27" s="17">
        <v>114</v>
      </c>
      <c r="E27" s="15" t="s">
        <v>15</v>
      </c>
    </row>
    <row r="28" spans="2:15">
      <c r="B28" s="4" t="s">
        <v>46</v>
      </c>
      <c r="C28" s="16">
        <v>4000</v>
      </c>
      <c r="D28" s="17">
        <v>114</v>
      </c>
      <c r="E28" s="15" t="s">
        <v>13</v>
      </c>
    </row>
    <row r="29" spans="2:15">
      <c r="B29" s="4" t="s">
        <v>47</v>
      </c>
      <c r="C29" s="16">
        <v>4000</v>
      </c>
      <c r="D29" s="17">
        <v>124</v>
      </c>
      <c r="E29" s="15" t="s">
        <v>13</v>
      </c>
    </row>
    <row r="30" spans="2:15">
      <c r="B30" s="4" t="s">
        <v>50</v>
      </c>
      <c r="C30" s="16">
        <v>3750</v>
      </c>
      <c r="D30" s="17">
        <v>112</v>
      </c>
      <c r="E30" s="15" t="s">
        <v>14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Load &amp; IP</vt:lpstr>
      <vt:lpstr>Data</vt:lpstr>
      <vt:lpstr>Sheet2</vt:lpstr>
    </vt:vector>
  </TitlesOfParts>
  <Company>BSIN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</dc:creator>
  <cp:lastModifiedBy>General User</cp:lastModifiedBy>
  <cp:lastPrinted>2010-12-10T07:29:56Z</cp:lastPrinted>
  <dcterms:created xsi:type="dcterms:W3CDTF">2009-06-04T06:48:03Z</dcterms:created>
  <dcterms:modified xsi:type="dcterms:W3CDTF">2025-11-02T10:04:09Z</dcterms:modified>
</cp:coreProperties>
</file>